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S:\co-hoc\yr4sem2\"/>
    </mc:Choice>
  </mc:AlternateContent>
  <xr:revisionPtr revIDLastSave="0" documentId="13_ncr:1_{4436E960-18C4-4B16-A252-AA0060013239}" xr6:coauthVersionLast="47" xr6:coauthVersionMax="47" xr10:uidLastSave="{00000000-0000-0000-0000-000000000000}"/>
  <bookViews>
    <workbookView xWindow="-110" yWindow="-110" windowWidth="19420" windowHeight="10300" tabRatio="811" xr2:uid="{B9C8CF34-E2B9-4CF4-8513-847B8F9C1D6B}"/>
  </bookViews>
  <sheets>
    <sheet name="Command" sheetId="16" r:id="rId1"/>
    <sheet name="CSO-1980" sheetId="113" r:id="rId2"/>
    <sheet name="VNIndex" sheetId="114" r:id="rId3"/>
    <sheet name="Result" sheetId="17" r:id="rId4"/>
    <sheet name="Deterministic-VND" sheetId="164" r:id="rId5"/>
    <sheet name="Stochastic-NegativeF10" sheetId="1211" r:id="rId6"/>
    <sheet name="Stochastic-Modified" sheetId="1212" r:id="rId7"/>
    <sheet name="Stochastic-VND" sheetId="162" r:id="rId8"/>
    <sheet name="Appendices" sheetId="1218" r:id="rId9"/>
  </sheets>
  <definedNames>
    <definedName name="_xlchart.v1.0" hidden="1">'Stochastic-VND'!$B$64:$B$1003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W3" i="162" l="1"/>
  <c r="W14" i="162"/>
  <c r="W5" i="162"/>
  <c r="W6" i="162"/>
  <c r="W7" i="162"/>
  <c r="W8" i="162"/>
  <c r="W9" i="162"/>
  <c r="W10" i="162"/>
  <c r="W11" i="162"/>
  <c r="W12" i="162"/>
  <c r="W13" i="162"/>
  <c r="W4" i="162"/>
  <c r="C6" i="162"/>
  <c r="C5" i="162" l="1"/>
  <c r="K6" i="114"/>
  <c r="Z169" i="1218"/>
  <c r="Z168" i="1218"/>
  <c r="Z167" i="1218"/>
  <c r="Z166" i="1218"/>
  <c r="Z165" i="1218"/>
  <c r="Z164" i="1218"/>
  <c r="Z163" i="1218"/>
  <c r="Z162" i="1218"/>
  <c r="Z161" i="1218"/>
  <c r="Z160" i="1218"/>
  <c r="Z159" i="1218"/>
  <c r="Z158" i="1218"/>
  <c r="Z157" i="1218"/>
  <c r="Z156" i="1218"/>
  <c r="Z155" i="1218"/>
  <c r="Z154" i="1218"/>
  <c r="Z153" i="1218"/>
  <c r="Z152" i="1218"/>
  <c r="Z151" i="1218"/>
  <c r="Z150" i="1218"/>
  <c r="Z149" i="1218"/>
  <c r="Z148" i="1218"/>
  <c r="Z147" i="1218"/>
  <c r="Z146" i="1218"/>
  <c r="Z145" i="1218"/>
  <c r="Z144" i="1218"/>
  <c r="Z143" i="1218"/>
  <c r="Z142" i="1218"/>
  <c r="Z141" i="1218"/>
  <c r="Z140" i="1218"/>
  <c r="Z139" i="1218"/>
  <c r="Z138" i="1218"/>
  <c r="Z137" i="1218"/>
  <c r="Z136" i="1218"/>
  <c r="Z135" i="1218"/>
  <c r="Z134" i="1218"/>
  <c r="Z133" i="1218"/>
  <c r="Z132" i="1218"/>
  <c r="Z131" i="1218"/>
  <c r="Z130" i="1218"/>
  <c r="Z129" i="1218"/>
  <c r="Z128" i="1218"/>
  <c r="Z127" i="1218"/>
  <c r="Z126" i="1218"/>
  <c r="Z125" i="1218"/>
  <c r="Z124" i="1218"/>
  <c r="Z123" i="1218"/>
  <c r="Z122" i="1218"/>
  <c r="Z121" i="1218"/>
  <c r="Z120" i="1218"/>
  <c r="Z119" i="1218"/>
  <c r="Z118" i="1218"/>
  <c r="Z117" i="1218"/>
  <c r="Z116" i="1218"/>
  <c r="Z115" i="1218"/>
  <c r="Z114" i="1218"/>
  <c r="Z113" i="1218"/>
  <c r="Z112" i="1218"/>
  <c r="Z111" i="1218"/>
  <c r="Z110" i="1218"/>
  <c r="Z109" i="1218"/>
  <c r="Z108" i="1218"/>
  <c r="Z107" i="1218"/>
  <c r="Z106" i="1218"/>
  <c r="Z105" i="1218"/>
  <c r="Z104" i="1218"/>
  <c r="Z103" i="1218"/>
  <c r="Z102" i="1218"/>
  <c r="Z101" i="1218"/>
  <c r="Z100" i="1218"/>
  <c r="Z99" i="1218"/>
  <c r="Z98" i="1218"/>
  <c r="Z97" i="1218"/>
  <c r="Z96" i="1218"/>
  <c r="Z95" i="1218"/>
  <c r="Z94" i="1218"/>
  <c r="Z93" i="1218"/>
  <c r="Z92" i="1218"/>
  <c r="Z91" i="1218"/>
  <c r="Z90" i="1218"/>
  <c r="Z89" i="1218"/>
  <c r="Z88" i="1218"/>
  <c r="Z87" i="1218"/>
  <c r="Z86" i="1218"/>
  <c r="Z85" i="1218"/>
  <c r="Z84" i="1218"/>
  <c r="Z83" i="1218"/>
  <c r="Z82" i="1218"/>
  <c r="Z81" i="1218"/>
  <c r="Z80" i="1218"/>
  <c r="Z79" i="1218"/>
  <c r="Z78" i="1218"/>
  <c r="Z77" i="1218"/>
  <c r="Z76" i="1218"/>
  <c r="Z75" i="1218"/>
  <c r="Z74" i="1218"/>
  <c r="Z73" i="1218"/>
  <c r="Z72" i="1218"/>
  <c r="Z71" i="1218"/>
  <c r="Z70" i="1218"/>
  <c r="Z69" i="1218"/>
  <c r="Z68" i="1218"/>
  <c r="Z67" i="1218"/>
  <c r="Z66" i="1218"/>
  <c r="Z65" i="1218"/>
  <c r="Z64" i="1218"/>
  <c r="Z63" i="1218"/>
  <c r="Z62" i="1218"/>
  <c r="Z61" i="1218"/>
  <c r="Z60" i="1218"/>
  <c r="Z59" i="1218"/>
  <c r="Z58" i="1218"/>
  <c r="Z57" i="1218"/>
  <c r="Z56" i="1218"/>
  <c r="Z55" i="1218"/>
  <c r="Z54" i="1218"/>
  <c r="Z53" i="1218"/>
  <c r="Z52" i="1218"/>
  <c r="Z51" i="1218"/>
  <c r="Z50" i="1218"/>
  <c r="Z49" i="1218"/>
  <c r="Z48" i="1218"/>
  <c r="Z47" i="1218"/>
  <c r="Z46" i="1218"/>
  <c r="Z45" i="1218"/>
  <c r="Z44" i="1218"/>
  <c r="Z43" i="1218"/>
  <c r="Z42" i="1218"/>
  <c r="Z41" i="1218"/>
  <c r="Z40" i="1218"/>
  <c r="Z39" i="1218"/>
  <c r="Z38" i="1218"/>
  <c r="Z37" i="1218"/>
  <c r="Z36" i="1218"/>
  <c r="Z35" i="1218"/>
  <c r="Z34" i="1218"/>
  <c r="Z33" i="1218"/>
  <c r="Z32" i="1218"/>
  <c r="Z31" i="1218"/>
  <c r="Z30" i="1218"/>
  <c r="Z29" i="1218"/>
  <c r="Z28" i="1218"/>
  <c r="Z27" i="1218"/>
  <c r="Z26" i="1218"/>
  <c r="Z25" i="1218"/>
  <c r="Z24" i="1218"/>
  <c r="Z23" i="1218"/>
  <c r="Z22" i="1218"/>
  <c r="Z21" i="1218"/>
  <c r="Z20" i="1218"/>
  <c r="Z19" i="1218"/>
  <c r="Z18" i="1218"/>
  <c r="Z17" i="1218"/>
  <c r="Z16" i="1218"/>
  <c r="Z15" i="1218"/>
  <c r="Z14" i="1218"/>
  <c r="Z13" i="1218"/>
  <c r="Z12" i="1218"/>
  <c r="Z11" i="1218"/>
  <c r="Z10" i="1218"/>
  <c r="Z9" i="1218"/>
  <c r="Z8" i="1218"/>
  <c r="Z7" i="1218"/>
  <c r="Z6" i="1218"/>
  <c r="Z5" i="1218"/>
  <c r="Z4" i="1218"/>
  <c r="Z3" i="1218"/>
  <c r="W169" i="1218"/>
  <c r="W168" i="1218"/>
  <c r="W167" i="1218"/>
  <c r="W166" i="1218"/>
  <c r="W165" i="1218"/>
  <c r="W164" i="1218"/>
  <c r="W163" i="1218"/>
  <c r="W162" i="1218"/>
  <c r="W161" i="1218"/>
  <c r="W160" i="1218"/>
  <c r="W159" i="1218"/>
  <c r="W158" i="1218"/>
  <c r="W157" i="1218"/>
  <c r="W156" i="1218"/>
  <c r="W155" i="1218"/>
  <c r="W154" i="1218"/>
  <c r="W153" i="1218"/>
  <c r="W152" i="1218"/>
  <c r="W151" i="1218"/>
  <c r="W150" i="1218"/>
  <c r="W149" i="1218"/>
  <c r="W148" i="1218"/>
  <c r="W147" i="1218"/>
  <c r="W146" i="1218"/>
  <c r="W145" i="1218"/>
  <c r="W144" i="1218"/>
  <c r="W143" i="1218"/>
  <c r="W142" i="1218"/>
  <c r="W141" i="1218"/>
  <c r="W140" i="1218"/>
  <c r="W139" i="1218"/>
  <c r="W138" i="1218"/>
  <c r="W137" i="1218"/>
  <c r="W136" i="1218"/>
  <c r="W135" i="1218"/>
  <c r="W134" i="1218"/>
  <c r="W133" i="1218"/>
  <c r="W132" i="1218"/>
  <c r="W131" i="1218"/>
  <c r="W130" i="1218"/>
  <c r="W129" i="1218"/>
  <c r="W128" i="1218"/>
  <c r="W127" i="1218"/>
  <c r="W126" i="1218"/>
  <c r="W125" i="1218"/>
  <c r="W124" i="1218"/>
  <c r="W123" i="1218"/>
  <c r="W122" i="1218"/>
  <c r="W121" i="1218"/>
  <c r="W120" i="1218"/>
  <c r="W119" i="1218"/>
  <c r="W118" i="1218"/>
  <c r="W117" i="1218"/>
  <c r="W116" i="1218"/>
  <c r="W115" i="1218"/>
  <c r="W114" i="1218"/>
  <c r="W113" i="1218"/>
  <c r="W112" i="1218"/>
  <c r="W111" i="1218"/>
  <c r="W110" i="1218"/>
  <c r="W109" i="1218"/>
  <c r="W108" i="1218"/>
  <c r="W107" i="1218"/>
  <c r="W106" i="1218"/>
  <c r="W105" i="1218"/>
  <c r="W104" i="1218"/>
  <c r="W103" i="1218"/>
  <c r="W102" i="1218"/>
  <c r="W101" i="1218"/>
  <c r="W100" i="1218"/>
  <c r="W99" i="1218"/>
  <c r="W98" i="1218"/>
  <c r="W97" i="1218"/>
  <c r="W96" i="1218"/>
  <c r="W95" i="1218"/>
  <c r="W94" i="1218"/>
  <c r="W93" i="1218"/>
  <c r="W92" i="1218"/>
  <c r="W91" i="1218"/>
  <c r="W90" i="1218"/>
  <c r="W89" i="1218"/>
  <c r="W88" i="1218"/>
  <c r="W87" i="1218"/>
  <c r="W86" i="1218"/>
  <c r="W85" i="1218"/>
  <c r="W84" i="1218"/>
  <c r="W83" i="1218"/>
  <c r="W82" i="1218"/>
  <c r="W81" i="1218"/>
  <c r="W80" i="1218"/>
  <c r="W79" i="1218"/>
  <c r="W78" i="1218"/>
  <c r="W77" i="1218"/>
  <c r="W76" i="1218"/>
  <c r="W75" i="1218"/>
  <c r="W74" i="1218"/>
  <c r="W73" i="1218"/>
  <c r="W72" i="1218"/>
  <c r="W71" i="1218"/>
  <c r="W70" i="1218"/>
  <c r="W69" i="1218"/>
  <c r="W68" i="1218"/>
  <c r="W67" i="1218"/>
  <c r="W66" i="1218"/>
  <c r="W65" i="1218"/>
  <c r="W64" i="1218"/>
  <c r="W63" i="1218"/>
  <c r="W62" i="1218"/>
  <c r="W61" i="1218"/>
  <c r="W60" i="1218"/>
  <c r="W59" i="1218"/>
  <c r="W58" i="1218"/>
  <c r="W57" i="1218"/>
  <c r="W56" i="1218"/>
  <c r="W55" i="1218"/>
  <c r="W54" i="1218"/>
  <c r="W53" i="1218"/>
  <c r="W52" i="1218"/>
  <c r="W51" i="1218"/>
  <c r="W50" i="1218"/>
  <c r="W49" i="1218"/>
  <c r="W48" i="1218"/>
  <c r="W47" i="1218"/>
  <c r="W46" i="1218"/>
  <c r="W45" i="1218"/>
  <c r="W44" i="1218"/>
  <c r="W43" i="1218"/>
  <c r="W42" i="1218"/>
  <c r="W41" i="1218"/>
  <c r="W40" i="1218"/>
  <c r="W39" i="1218"/>
  <c r="W38" i="1218"/>
  <c r="W37" i="1218"/>
  <c r="W36" i="1218"/>
  <c r="W35" i="1218"/>
  <c r="W34" i="1218"/>
  <c r="W33" i="1218"/>
  <c r="W32" i="1218"/>
  <c r="W31" i="1218"/>
  <c r="W30" i="1218"/>
  <c r="W29" i="1218"/>
  <c r="W28" i="1218"/>
  <c r="W27" i="1218"/>
  <c r="W26" i="1218"/>
  <c r="W25" i="1218"/>
  <c r="W24" i="1218"/>
  <c r="W23" i="1218"/>
  <c r="W22" i="1218"/>
  <c r="W21" i="1218"/>
  <c r="W20" i="1218"/>
  <c r="W19" i="1218"/>
  <c r="W18" i="1218"/>
  <c r="W17" i="1218"/>
  <c r="W16" i="1218"/>
  <c r="W15" i="1218"/>
  <c r="W14" i="1218"/>
  <c r="W13" i="1218"/>
  <c r="W12" i="1218"/>
  <c r="W11" i="1218"/>
  <c r="W10" i="1218"/>
  <c r="W9" i="1218"/>
  <c r="W8" i="1218"/>
  <c r="W7" i="1218"/>
  <c r="W6" i="1218"/>
  <c r="W5" i="1218"/>
  <c r="W4" i="1218"/>
  <c r="W3" i="1218"/>
  <c r="T169" i="1218"/>
  <c r="T168" i="1218"/>
  <c r="T167" i="1218"/>
  <c r="T166" i="1218"/>
  <c r="T165" i="1218"/>
  <c r="T164" i="1218"/>
  <c r="T163" i="1218"/>
  <c r="T162" i="1218"/>
  <c r="T161" i="1218"/>
  <c r="T160" i="1218"/>
  <c r="T159" i="1218"/>
  <c r="T158" i="1218"/>
  <c r="T157" i="1218"/>
  <c r="T156" i="1218"/>
  <c r="T155" i="1218"/>
  <c r="T154" i="1218"/>
  <c r="T153" i="1218"/>
  <c r="T152" i="1218"/>
  <c r="T151" i="1218"/>
  <c r="T150" i="1218"/>
  <c r="T149" i="1218"/>
  <c r="T148" i="1218"/>
  <c r="T147" i="1218"/>
  <c r="T146" i="1218"/>
  <c r="T145" i="1218"/>
  <c r="T144" i="1218"/>
  <c r="T143" i="1218"/>
  <c r="T142" i="1218"/>
  <c r="T141" i="1218"/>
  <c r="T140" i="1218"/>
  <c r="T139" i="1218"/>
  <c r="T138" i="1218"/>
  <c r="T137" i="1218"/>
  <c r="T136" i="1218"/>
  <c r="T135" i="1218"/>
  <c r="T134" i="1218"/>
  <c r="T133" i="1218"/>
  <c r="T132" i="1218"/>
  <c r="T131" i="1218"/>
  <c r="T130" i="1218"/>
  <c r="T129" i="1218"/>
  <c r="T128" i="1218"/>
  <c r="T127" i="1218"/>
  <c r="T126" i="1218"/>
  <c r="T125" i="1218"/>
  <c r="T124" i="1218"/>
  <c r="T123" i="1218"/>
  <c r="T122" i="1218"/>
  <c r="T121" i="1218"/>
  <c r="T120" i="1218"/>
  <c r="T119" i="1218"/>
  <c r="T118" i="1218"/>
  <c r="T117" i="1218"/>
  <c r="T116" i="1218"/>
  <c r="T115" i="1218"/>
  <c r="T114" i="1218"/>
  <c r="T113" i="1218"/>
  <c r="T112" i="1218"/>
  <c r="T111" i="1218"/>
  <c r="T110" i="1218"/>
  <c r="T109" i="1218"/>
  <c r="T108" i="1218"/>
  <c r="T107" i="1218"/>
  <c r="T106" i="1218"/>
  <c r="T105" i="1218"/>
  <c r="T104" i="1218"/>
  <c r="T103" i="1218"/>
  <c r="T102" i="1218"/>
  <c r="T101" i="1218"/>
  <c r="T100" i="1218"/>
  <c r="T99" i="1218"/>
  <c r="T98" i="1218"/>
  <c r="T97" i="1218"/>
  <c r="T96" i="1218"/>
  <c r="T95" i="1218"/>
  <c r="T94" i="1218"/>
  <c r="T93" i="1218"/>
  <c r="T92" i="1218"/>
  <c r="T91" i="1218"/>
  <c r="T90" i="1218"/>
  <c r="T89" i="1218"/>
  <c r="T88" i="1218"/>
  <c r="T87" i="1218"/>
  <c r="T86" i="1218"/>
  <c r="T85" i="1218"/>
  <c r="T84" i="1218"/>
  <c r="T83" i="1218"/>
  <c r="T82" i="1218"/>
  <c r="T81" i="1218"/>
  <c r="T80" i="1218"/>
  <c r="T79" i="1218"/>
  <c r="T78" i="1218"/>
  <c r="T77" i="1218"/>
  <c r="T76" i="1218"/>
  <c r="T75" i="1218"/>
  <c r="T74" i="1218"/>
  <c r="T73" i="1218"/>
  <c r="T72" i="1218"/>
  <c r="T71" i="1218"/>
  <c r="T70" i="1218"/>
  <c r="T69" i="1218"/>
  <c r="T68" i="1218"/>
  <c r="T67" i="1218"/>
  <c r="T66" i="1218"/>
  <c r="T65" i="1218"/>
  <c r="T64" i="1218"/>
  <c r="T63" i="1218"/>
  <c r="T62" i="1218"/>
  <c r="T61" i="1218"/>
  <c r="T60" i="1218"/>
  <c r="T59" i="1218"/>
  <c r="T58" i="1218"/>
  <c r="T57" i="1218"/>
  <c r="T56" i="1218"/>
  <c r="T55" i="1218"/>
  <c r="T54" i="1218"/>
  <c r="T53" i="1218"/>
  <c r="T52" i="1218"/>
  <c r="T51" i="1218"/>
  <c r="T50" i="1218"/>
  <c r="T49" i="1218"/>
  <c r="T48" i="1218"/>
  <c r="T47" i="1218"/>
  <c r="T46" i="1218"/>
  <c r="T45" i="1218"/>
  <c r="T44" i="1218"/>
  <c r="T43" i="1218"/>
  <c r="T42" i="1218"/>
  <c r="T41" i="1218"/>
  <c r="T40" i="1218"/>
  <c r="T39" i="1218"/>
  <c r="T38" i="1218"/>
  <c r="T37" i="1218"/>
  <c r="T36" i="1218"/>
  <c r="T35" i="1218"/>
  <c r="T34" i="1218"/>
  <c r="T33" i="1218"/>
  <c r="T32" i="1218"/>
  <c r="T31" i="1218"/>
  <c r="T30" i="1218"/>
  <c r="T29" i="1218"/>
  <c r="T28" i="1218"/>
  <c r="T27" i="1218"/>
  <c r="T26" i="1218"/>
  <c r="T25" i="1218"/>
  <c r="T24" i="1218"/>
  <c r="T23" i="1218"/>
  <c r="T22" i="1218"/>
  <c r="T21" i="1218"/>
  <c r="T20" i="1218"/>
  <c r="T19" i="1218"/>
  <c r="T18" i="1218"/>
  <c r="T17" i="1218"/>
  <c r="T16" i="1218"/>
  <c r="T15" i="1218"/>
  <c r="T14" i="1218"/>
  <c r="T13" i="1218"/>
  <c r="T12" i="1218"/>
  <c r="T11" i="1218"/>
  <c r="T10" i="1218"/>
  <c r="T9" i="1218"/>
  <c r="T8" i="1218"/>
  <c r="T7" i="1218"/>
  <c r="T6" i="1218"/>
  <c r="T5" i="1218"/>
  <c r="T4" i="1218"/>
  <c r="Q4" i="164"/>
  <c r="Q5" i="164"/>
  <c r="Q6" i="164"/>
  <c r="Q7" i="164"/>
  <c r="Q8" i="164"/>
  <c r="Q9" i="164"/>
  <c r="Q10" i="164"/>
  <c r="Q11" i="164"/>
  <c r="Q12" i="164"/>
  <c r="Q13" i="164"/>
  <c r="Q3" i="164"/>
  <c r="R13" i="1211"/>
  <c r="Q4" i="1211"/>
  <c r="Q5" i="1211"/>
  <c r="Q6" i="1211"/>
  <c r="Q7" i="1211"/>
  <c r="Q8" i="1211"/>
  <c r="Q9" i="1211"/>
  <c r="Q10" i="1211"/>
  <c r="Q11" i="1211"/>
  <c r="Q12" i="1211"/>
  <c r="Q13" i="1211"/>
  <c r="Q3" i="1211"/>
  <c r="J4" i="114"/>
  <c r="G4" i="114"/>
  <c r="G5" i="114"/>
  <c r="G6" i="114"/>
  <c r="G7" i="114"/>
  <c r="G8" i="114"/>
  <c r="G9" i="114"/>
  <c r="G10" i="114"/>
  <c r="G11" i="114"/>
  <c r="G12" i="114"/>
  <c r="G13" i="114"/>
  <c r="G14" i="114"/>
  <c r="G15" i="114"/>
  <c r="G16" i="114"/>
  <c r="G17" i="114"/>
  <c r="G18" i="114"/>
  <c r="G19" i="114"/>
  <c r="G20" i="114"/>
  <c r="G21" i="114"/>
  <c r="G22" i="114"/>
  <c r="G23" i="114"/>
  <c r="G24" i="114"/>
  <c r="G25" i="114"/>
  <c r="G26" i="114"/>
  <c r="G27" i="114"/>
  <c r="G28" i="114"/>
  <c r="G29" i="114"/>
  <c r="G30" i="114"/>
  <c r="G31" i="114"/>
  <c r="G32" i="114"/>
  <c r="G33" i="114"/>
  <c r="G34" i="114"/>
  <c r="G35" i="114"/>
  <c r="G36" i="114"/>
  <c r="G37" i="114"/>
  <c r="G38" i="114"/>
  <c r="G39" i="114"/>
  <c r="G40" i="114"/>
  <c r="G41" i="114"/>
  <c r="G42" i="114"/>
  <c r="G43" i="114"/>
  <c r="G44" i="114"/>
  <c r="G45" i="114"/>
  <c r="G46" i="114"/>
  <c r="G47" i="114"/>
  <c r="G48" i="114"/>
  <c r="G49" i="114"/>
  <c r="G50" i="114"/>
  <c r="G51" i="114"/>
  <c r="G52" i="114"/>
  <c r="G53" i="114"/>
  <c r="G54" i="114"/>
  <c r="G55" i="114"/>
  <c r="G56" i="114"/>
  <c r="G57" i="114"/>
  <c r="G58" i="114"/>
  <c r="G59" i="114"/>
  <c r="G60" i="114"/>
  <c r="G61" i="114"/>
  <c r="G62" i="114"/>
  <c r="G63" i="114"/>
  <c r="G64" i="114"/>
  <c r="G65" i="114"/>
  <c r="G66" i="114"/>
  <c r="G67" i="114"/>
  <c r="G68" i="114"/>
  <c r="G69" i="114"/>
  <c r="G70" i="114"/>
  <c r="G71" i="114"/>
  <c r="G72" i="114"/>
  <c r="G73" i="114"/>
  <c r="G74" i="114"/>
  <c r="G75" i="114"/>
  <c r="G76" i="114"/>
  <c r="G77" i="114"/>
  <c r="G78" i="114"/>
  <c r="G79" i="114"/>
  <c r="G80" i="114"/>
  <c r="G81" i="114"/>
  <c r="G82" i="114"/>
  <c r="G83" i="114"/>
  <c r="G84" i="114"/>
  <c r="G85" i="114"/>
  <c r="G86" i="114"/>
  <c r="G87" i="114"/>
  <c r="G88" i="114"/>
  <c r="G89" i="114"/>
  <c r="G90" i="114"/>
  <c r="G91" i="114"/>
  <c r="G92" i="114"/>
  <c r="G93" i="114"/>
  <c r="G94" i="114"/>
  <c r="G95" i="114"/>
  <c r="G96" i="114"/>
  <c r="G97" i="114"/>
  <c r="G98" i="114"/>
  <c r="G99" i="114"/>
  <c r="G100" i="114"/>
  <c r="G101" i="114"/>
  <c r="G102" i="114"/>
  <c r="G103" i="114"/>
  <c r="G104" i="114"/>
  <c r="G105" i="114"/>
  <c r="G106" i="114"/>
  <c r="G107" i="114"/>
  <c r="G108" i="114"/>
  <c r="G109" i="114"/>
  <c r="G110" i="114"/>
  <c r="G111" i="114"/>
  <c r="G112" i="114"/>
  <c r="G113" i="114"/>
  <c r="G114" i="114"/>
  <c r="G115" i="114"/>
  <c r="G116" i="114"/>
  <c r="G117" i="114"/>
  <c r="G118" i="114"/>
  <c r="G119" i="114"/>
  <c r="G120" i="114"/>
  <c r="G121" i="114"/>
  <c r="G122" i="114"/>
  <c r="G123" i="114"/>
  <c r="G124" i="114"/>
  <c r="G125" i="114"/>
  <c r="G126" i="114"/>
  <c r="G127" i="114"/>
  <c r="G128" i="114"/>
  <c r="G129" i="114"/>
  <c r="G130" i="114"/>
  <c r="G131" i="114"/>
  <c r="G132" i="114"/>
  <c r="G133" i="114"/>
  <c r="G134" i="114"/>
  <c r="G135" i="114"/>
  <c r="G136" i="114"/>
  <c r="G137" i="114"/>
  <c r="G138" i="114"/>
  <c r="G139" i="114"/>
  <c r="G140" i="114"/>
  <c r="G141" i="114"/>
  <c r="G142" i="114"/>
  <c r="G143" i="114"/>
  <c r="G144" i="114"/>
  <c r="G145" i="114"/>
  <c r="G146" i="114"/>
  <c r="G147" i="114"/>
  <c r="G148" i="114"/>
  <c r="G149" i="114"/>
  <c r="G150" i="114"/>
  <c r="G151" i="114"/>
  <c r="G152" i="114"/>
  <c r="G153" i="114"/>
  <c r="G154" i="114"/>
  <c r="G155" i="114"/>
  <c r="G156" i="114"/>
  <c r="G157" i="114"/>
  <c r="G158" i="114"/>
  <c r="G159" i="114"/>
  <c r="G160" i="114"/>
  <c r="G161" i="114"/>
  <c r="G162" i="114"/>
  <c r="G163" i="114"/>
  <c r="G164" i="114"/>
  <c r="G165" i="114"/>
  <c r="G166" i="114"/>
  <c r="G167" i="114"/>
  <c r="G168" i="114"/>
  <c r="G169" i="114"/>
  <c r="G170" i="114"/>
  <c r="G171" i="114"/>
  <c r="G172" i="114"/>
  <c r="G173" i="114"/>
  <c r="G174" i="114"/>
  <c r="G175" i="114"/>
  <c r="G176" i="114"/>
  <c r="G177" i="114"/>
  <c r="G178" i="114"/>
  <c r="G179" i="114"/>
  <c r="G180" i="114"/>
  <c r="G181" i="114"/>
  <c r="G182" i="114"/>
  <c r="G183" i="114"/>
  <c r="G184" i="114"/>
  <c r="G185" i="114"/>
  <c r="G186" i="114"/>
  <c r="G187" i="114"/>
  <c r="G188" i="114"/>
  <c r="G189" i="114"/>
  <c r="G190" i="114"/>
  <c r="G191" i="114"/>
  <c r="G192" i="114"/>
  <c r="G193" i="114"/>
  <c r="G194" i="114"/>
  <c r="G195" i="114"/>
  <c r="G196" i="114"/>
  <c r="G197" i="114"/>
  <c r="G198" i="114"/>
  <c r="G199" i="114"/>
  <c r="G200" i="114"/>
  <c r="G201" i="114"/>
  <c r="G202" i="114"/>
  <c r="G203" i="114"/>
  <c r="G204" i="114"/>
  <c r="G205" i="114"/>
  <c r="G206" i="114"/>
  <c r="G207" i="114"/>
  <c r="G208" i="114"/>
  <c r="G209" i="114"/>
  <c r="G210" i="114"/>
  <c r="G211" i="114"/>
  <c r="G212" i="114"/>
  <c r="G213" i="114"/>
  <c r="G214" i="114"/>
  <c r="G215" i="114"/>
  <c r="G216" i="114"/>
  <c r="G217" i="114"/>
  <c r="G218" i="114"/>
  <c r="G219" i="114"/>
  <c r="G220" i="114"/>
  <c r="G221" i="114"/>
  <c r="G222" i="114"/>
  <c r="G223" i="114"/>
  <c r="G224" i="114"/>
  <c r="G225" i="114"/>
  <c r="G226" i="114"/>
  <c r="G227" i="114"/>
  <c r="G228" i="114"/>
  <c r="G229" i="114"/>
  <c r="G230" i="114"/>
  <c r="G231" i="114"/>
  <c r="G232" i="114"/>
  <c r="G233" i="114"/>
  <c r="G234" i="114"/>
  <c r="G235" i="114"/>
  <c r="G236" i="114"/>
  <c r="G237" i="114"/>
  <c r="G238" i="114"/>
  <c r="G239" i="114"/>
  <c r="G240" i="114"/>
  <c r="G241" i="114"/>
  <c r="G242" i="114"/>
  <c r="G243" i="114"/>
  <c r="G244" i="114"/>
  <c r="G245" i="114"/>
  <c r="G246" i="114"/>
  <c r="G247" i="114"/>
  <c r="G248" i="114"/>
  <c r="G249" i="114"/>
  <c r="G250" i="114"/>
  <c r="G251" i="114"/>
  <c r="G252" i="114"/>
  <c r="G253" i="114"/>
  <c r="G254" i="114"/>
  <c r="G255" i="114"/>
  <c r="G256" i="114"/>
  <c r="G257" i="114"/>
  <c r="G258" i="114"/>
  <c r="G259" i="114"/>
  <c r="G260" i="114"/>
  <c r="G261" i="114"/>
  <c r="G262" i="114"/>
  <c r="G263" i="114"/>
  <c r="G264" i="114"/>
  <c r="G265" i="114"/>
  <c r="G266" i="114"/>
  <c r="G267" i="114"/>
  <c r="G268" i="114"/>
  <c r="G269" i="114"/>
  <c r="G270" i="114"/>
  <c r="G271" i="114"/>
  <c r="G272" i="114"/>
  <c r="G273" i="114"/>
  <c r="G274" i="114"/>
  <c r="G275" i="114"/>
  <c r="G276" i="114"/>
  <c r="G277" i="114"/>
  <c r="G278" i="114"/>
  <c r="G279" i="114"/>
  <c r="G280" i="114"/>
  <c r="G281" i="114"/>
  <c r="G282" i="114"/>
  <c r="G283" i="114"/>
  <c r="G284" i="114"/>
  <c r="G285" i="114"/>
  <c r="G286" i="114"/>
  <c r="G287" i="114"/>
  <c r="G288" i="114"/>
  <c r="G289" i="114"/>
  <c r="G290" i="114"/>
  <c r="G291" i="114"/>
  <c r="G292" i="114"/>
  <c r="G293" i="114"/>
  <c r="G294" i="114"/>
  <c r="G295" i="114"/>
  <c r="G296" i="114"/>
  <c r="G297" i="114"/>
  <c r="G298" i="114"/>
  <c r="G299" i="114"/>
  <c r="G300" i="114"/>
  <c r="G301" i="114"/>
  <c r="G302" i="114"/>
  <c r="G303" i="114"/>
  <c r="G304" i="114"/>
  <c r="G305" i="114"/>
  <c r="G306" i="114"/>
  <c r="G307" i="114"/>
  <c r="G308" i="114"/>
  <c r="G309" i="114"/>
  <c r="G310" i="114"/>
  <c r="G311" i="114"/>
  <c r="G312" i="114"/>
  <c r="G313" i="114"/>
  <c r="G314" i="114"/>
  <c r="G315" i="114"/>
  <c r="G316" i="114"/>
  <c r="G317" i="114"/>
  <c r="G318" i="114"/>
  <c r="G319" i="114"/>
  <c r="G320" i="114"/>
  <c r="G321" i="114"/>
  <c r="G322" i="114"/>
  <c r="G323" i="114"/>
  <c r="G324" i="114"/>
  <c r="G325" i="114"/>
  <c r="G326" i="114"/>
  <c r="G327" i="114"/>
  <c r="G328" i="114"/>
  <c r="G329" i="114"/>
  <c r="G330" i="114"/>
  <c r="G331" i="114"/>
  <c r="G332" i="114"/>
  <c r="G333" i="114"/>
  <c r="G334" i="114"/>
  <c r="G335" i="114"/>
  <c r="G336" i="114"/>
  <c r="G337" i="114"/>
  <c r="G338" i="114"/>
  <c r="G339" i="114"/>
  <c r="G340" i="114"/>
  <c r="G341" i="114"/>
  <c r="G342" i="114"/>
  <c r="G343" i="114"/>
  <c r="G344" i="114"/>
  <c r="G345" i="114"/>
  <c r="G346" i="114"/>
  <c r="G347" i="114"/>
  <c r="G348" i="114"/>
  <c r="G349" i="114"/>
  <c r="G350" i="114"/>
  <c r="G351" i="114"/>
  <c r="G352" i="114"/>
  <c r="G353" i="114"/>
  <c r="G354" i="114"/>
  <c r="G355" i="114"/>
  <c r="G356" i="114"/>
  <c r="G357" i="114"/>
  <c r="G358" i="114"/>
  <c r="G359" i="114"/>
  <c r="G360" i="114"/>
  <c r="G361" i="114"/>
  <c r="G362" i="114"/>
  <c r="G363" i="114"/>
  <c r="G364" i="114"/>
  <c r="G365" i="114"/>
  <c r="G366" i="114"/>
  <c r="G367" i="114"/>
  <c r="G368" i="114"/>
  <c r="G369" i="114"/>
  <c r="G370" i="114"/>
  <c r="G371" i="114"/>
  <c r="G372" i="114"/>
  <c r="G373" i="114"/>
  <c r="G374" i="114"/>
  <c r="G375" i="114"/>
  <c r="G376" i="114"/>
  <c r="G377" i="114"/>
  <c r="G378" i="114"/>
  <c r="G379" i="114"/>
  <c r="G380" i="114"/>
  <c r="G381" i="114"/>
  <c r="G382" i="114"/>
  <c r="G383" i="114"/>
  <c r="G384" i="114"/>
  <c r="G385" i="114"/>
  <c r="G386" i="114"/>
  <c r="G387" i="114"/>
  <c r="G388" i="114"/>
  <c r="G389" i="114"/>
  <c r="G390" i="114"/>
  <c r="G391" i="114"/>
  <c r="G392" i="114"/>
  <c r="G393" i="114"/>
  <c r="G394" i="114"/>
  <c r="G395" i="114"/>
  <c r="G396" i="114"/>
  <c r="G397" i="114"/>
  <c r="G398" i="114"/>
  <c r="G399" i="114"/>
  <c r="G400" i="114"/>
  <c r="G401" i="114"/>
  <c r="G402" i="114"/>
  <c r="G403" i="114"/>
  <c r="G404" i="114"/>
  <c r="G405" i="114"/>
  <c r="G406" i="114"/>
  <c r="G407" i="114"/>
  <c r="G408" i="114"/>
  <c r="G409" i="114"/>
  <c r="G410" i="114"/>
  <c r="G411" i="114"/>
  <c r="G412" i="114"/>
  <c r="G413" i="114"/>
  <c r="G414" i="114"/>
  <c r="G415" i="114"/>
  <c r="G416" i="114"/>
  <c r="G417" i="114"/>
  <c r="G418" i="114"/>
  <c r="G419" i="114"/>
  <c r="G420" i="114"/>
  <c r="G421" i="114"/>
  <c r="G422" i="114"/>
  <c r="G423" i="114"/>
  <c r="G424" i="114"/>
  <c r="G425" i="114"/>
  <c r="G426" i="114"/>
  <c r="G427" i="114"/>
  <c r="G428" i="114"/>
  <c r="G429" i="114"/>
  <c r="G430" i="114"/>
  <c r="G431" i="114"/>
  <c r="G432" i="114"/>
  <c r="G433" i="114"/>
  <c r="G434" i="114"/>
  <c r="G435" i="114"/>
  <c r="G436" i="114"/>
  <c r="G437" i="114"/>
  <c r="G438" i="114"/>
  <c r="G439" i="114"/>
  <c r="G440" i="114"/>
  <c r="G441" i="114"/>
  <c r="G442" i="114"/>
  <c r="G443" i="114"/>
  <c r="G444" i="114"/>
  <c r="G445" i="114"/>
  <c r="G446" i="114"/>
  <c r="G447" i="114"/>
  <c r="G448" i="114"/>
  <c r="G449" i="114"/>
  <c r="G450" i="114"/>
  <c r="G451" i="114"/>
  <c r="G452" i="114"/>
  <c r="G453" i="114"/>
  <c r="G454" i="114"/>
  <c r="G455" i="114"/>
  <c r="G456" i="114"/>
  <c r="G457" i="114"/>
  <c r="G458" i="114"/>
  <c r="G459" i="114"/>
  <c r="G460" i="114"/>
  <c r="G461" i="114"/>
  <c r="G462" i="114"/>
  <c r="G463" i="114"/>
  <c r="G464" i="114"/>
  <c r="G465" i="114"/>
  <c r="G466" i="114"/>
  <c r="G467" i="114"/>
  <c r="G468" i="114"/>
  <c r="G469" i="114"/>
  <c r="G470" i="114"/>
  <c r="G471" i="114"/>
  <c r="G472" i="114"/>
  <c r="G473" i="114"/>
  <c r="G474" i="114"/>
  <c r="G475" i="114"/>
  <c r="G476" i="114"/>
  <c r="G477" i="114"/>
  <c r="G478" i="114"/>
  <c r="G479" i="114"/>
  <c r="G480" i="114"/>
  <c r="G481" i="114"/>
  <c r="G482" i="114"/>
  <c r="G483" i="114"/>
  <c r="G484" i="114"/>
  <c r="G485" i="114"/>
  <c r="G486" i="114"/>
  <c r="G487" i="114"/>
  <c r="G488" i="114"/>
  <c r="G489" i="114"/>
  <c r="G490" i="114"/>
  <c r="G491" i="114"/>
  <c r="G492" i="114"/>
  <c r="G493" i="114"/>
  <c r="G494" i="114"/>
  <c r="G495" i="114"/>
  <c r="G496" i="114"/>
  <c r="G497" i="114"/>
  <c r="G498" i="114"/>
  <c r="G499" i="114"/>
  <c r="G500" i="114"/>
  <c r="G501" i="114"/>
  <c r="G502" i="114"/>
  <c r="G3" i="114"/>
  <c r="J5" i="114" l="1"/>
  <c r="J8" i="114" s="1"/>
  <c r="J7" i="114" s="1"/>
  <c r="J9" i="114" s="1"/>
  <c r="J6" i="114" l="1"/>
</calcChain>
</file>

<file path=xl/sharedStrings.xml><?xml version="1.0" encoding="utf-8"?>
<sst xmlns="http://schemas.openxmlformats.org/spreadsheetml/2006/main" count="661" uniqueCount="568">
  <si>
    <t>Time</t>
  </si>
  <si>
    <t>Allocated Premium</t>
  </si>
  <si>
    <t>Fund Brought Forward</t>
  </si>
  <si>
    <t>Fund Value before Management Charge</t>
  </si>
  <si>
    <t>Management Charge</t>
  </si>
  <si>
    <t>Ending Fund Value</t>
  </si>
  <si>
    <t>Unallocated Premium</t>
  </si>
  <si>
    <t>Expenses</t>
  </si>
  <si>
    <t>Interest</t>
  </si>
  <si>
    <t>Expected Death Benefit</t>
  </si>
  <si>
    <t>Profit</t>
  </si>
  <si>
    <t>Probability In Force</t>
  </si>
  <si>
    <t>Profit Signature</t>
  </si>
  <si>
    <t>Projection of Policyholder's Fund</t>
  </si>
  <si>
    <t>Emerging Surplus</t>
  </si>
  <si>
    <t>Results</t>
  </si>
  <si>
    <t>No</t>
  </si>
  <si>
    <t>Type</t>
  </si>
  <si>
    <t>NPV</t>
  </si>
  <si>
    <t>Metrics</t>
  </si>
  <si>
    <t>Value</t>
  </si>
  <si>
    <t>E[NPV]</t>
  </si>
  <si>
    <t>SD[NPV]</t>
  </si>
  <si>
    <t>95% CI for E[NPV]</t>
  </si>
  <si>
    <t>5th percentile</t>
  </si>
  <si>
    <t>Median of NPV</t>
  </si>
  <si>
    <t>95th percentile</t>
  </si>
  <si>
    <t>N-</t>
  </si>
  <si>
    <t>N*</t>
  </si>
  <si>
    <t>Stochastic - AP</t>
  </si>
  <si>
    <t>Run number 1</t>
  </si>
  <si>
    <t>Run Number</t>
  </si>
  <si>
    <t>Run number 2</t>
  </si>
  <si>
    <t>Simulation Rates on PHs Fund</t>
  </si>
  <si>
    <t>First Simulation Cashflow</t>
  </si>
  <si>
    <t>Simulation Outcomes</t>
  </si>
  <si>
    <t>Simulation Statistics</t>
  </si>
  <si>
    <t>Deterministic - AP</t>
  </si>
  <si>
    <t>Simulated z</t>
  </si>
  <si>
    <t>Simulated Return on Equity portfolios</t>
  </si>
  <si>
    <t>372.90K</t>
  </si>
  <si>
    <t>Mean</t>
  </si>
  <si>
    <t xml:space="preserve"> = exp(mu + sigma^2/2)</t>
  </si>
  <si>
    <t>655.24K</t>
  </si>
  <si>
    <t xml:space="preserve"> = (exp(sigma^2) - 1) * Mean^2</t>
  </si>
  <si>
    <t>528.48K</t>
  </si>
  <si>
    <t>557.43K</t>
  </si>
  <si>
    <t xml:space="preserve"> = ln(Mean - sigma^2/2)</t>
  </si>
  <si>
    <t>504.69K</t>
  </si>
  <si>
    <t xml:space="preserve"> = ln[(VAR/Mean^2) + 1]^0.5</t>
  </si>
  <si>
    <t>496.73K</t>
  </si>
  <si>
    <t>566.36K</t>
  </si>
  <si>
    <t>583.96K</t>
  </si>
  <si>
    <t>584.39K</t>
  </si>
  <si>
    <t>816.99K</t>
  </si>
  <si>
    <t>557.89K</t>
  </si>
  <si>
    <t>418.23K</t>
  </si>
  <si>
    <t>665.48K</t>
  </si>
  <si>
    <t>673.76K</t>
  </si>
  <si>
    <t>564.07K</t>
  </si>
  <si>
    <t>531.08K</t>
  </si>
  <si>
    <t>528.29K</t>
  </si>
  <si>
    <t>598.40K</t>
  </si>
  <si>
    <t>485.12K</t>
  </si>
  <si>
    <t>519.56K</t>
  </si>
  <si>
    <t>727.65K</t>
  </si>
  <si>
    <t>762.88K</t>
  </si>
  <si>
    <t>834.41K</t>
  </si>
  <si>
    <t>810.67K</t>
  </si>
  <si>
    <t>688.33K</t>
  </si>
  <si>
    <t>702.35K</t>
  </si>
  <si>
    <t>827.69K</t>
  </si>
  <si>
    <t>659.47K</t>
  </si>
  <si>
    <t>523.37K</t>
  </si>
  <si>
    <t>674.79K</t>
  </si>
  <si>
    <t>680.06K</t>
  </si>
  <si>
    <t>763.56K</t>
  </si>
  <si>
    <t>795.13K</t>
  </si>
  <si>
    <t>944.04K</t>
  </si>
  <si>
    <t>703.53K</t>
  </si>
  <si>
    <t>779.58K</t>
  </si>
  <si>
    <t>967.67K</t>
  </si>
  <si>
    <t>684.54K</t>
  </si>
  <si>
    <t>901.49K</t>
  </si>
  <si>
    <t>737.94K</t>
  </si>
  <si>
    <t>1.07M</t>
  </si>
  <si>
    <t>768.94K</t>
  </si>
  <si>
    <t>784.91K</t>
  </si>
  <si>
    <t>861.13K</t>
  </si>
  <si>
    <t>947.70K</t>
  </si>
  <si>
    <t>792.16K</t>
  </si>
  <si>
    <t>795.73K</t>
  </si>
  <si>
    <t>717.44K</t>
  </si>
  <si>
    <t>624.22K</t>
  </si>
  <si>
    <t>675.63K</t>
  </si>
  <si>
    <t>858.57K</t>
  </si>
  <si>
    <t>878.19K</t>
  </si>
  <si>
    <t>649.94K</t>
  </si>
  <si>
    <t>930.30K</t>
  </si>
  <si>
    <t>1.04M</t>
  </si>
  <si>
    <t>981.72K</t>
  </si>
  <si>
    <t>928.92K</t>
  </si>
  <si>
    <t>929.21K</t>
  </si>
  <si>
    <t>941.55K</t>
  </si>
  <si>
    <t>842.43K</t>
  </si>
  <si>
    <t>729.79K</t>
  </si>
  <si>
    <t>768.01K</t>
  </si>
  <si>
    <t>1.16M</t>
  </si>
  <si>
    <t>694.65K</t>
  </si>
  <si>
    <t>908.05K</t>
  </si>
  <si>
    <t>791.92K</t>
  </si>
  <si>
    <t>697.55K</t>
  </si>
  <si>
    <t>615.79K</t>
  </si>
  <si>
    <t>702.52K</t>
  </si>
  <si>
    <t>606.42K</t>
  </si>
  <si>
    <t>810.72K</t>
  </si>
  <si>
    <t>636.28K</t>
  </si>
  <si>
    <t>680.25K</t>
  </si>
  <si>
    <t>794.74K</t>
  </si>
  <si>
    <t>734.76K</t>
  </si>
  <si>
    <t>578.17K</t>
  </si>
  <si>
    <t>702.68K</t>
  </si>
  <si>
    <t>564.60K</t>
  </si>
  <si>
    <t>813.18K</t>
  </si>
  <si>
    <t>751.39K</t>
  </si>
  <si>
    <t>828.13K</t>
  </si>
  <si>
    <t>811.35K</t>
  </si>
  <si>
    <t>785.76K</t>
  </si>
  <si>
    <t>637.63K</t>
  </si>
  <si>
    <t>739.29K</t>
  </si>
  <si>
    <t>987.10K</t>
  </si>
  <si>
    <t>785.61K</t>
  </si>
  <si>
    <t>995.82K</t>
  </si>
  <si>
    <t>1.13M</t>
  </si>
  <si>
    <t>1.25M</t>
  </si>
  <si>
    <t>1.38M</t>
  </si>
  <si>
    <t>1.03M</t>
  </si>
  <si>
    <t>1.06M</t>
  </si>
  <si>
    <t>891.30K</t>
  </si>
  <si>
    <t>875.73K</t>
  </si>
  <si>
    <t>747.86K</t>
  </si>
  <si>
    <t>843.88K</t>
  </si>
  <si>
    <t>1.00M</t>
  </si>
  <si>
    <t>752.11K</t>
  </si>
  <si>
    <t>889.48K</t>
  </si>
  <si>
    <t>1.36M</t>
  </si>
  <si>
    <t>902.84K</t>
  </si>
  <si>
    <t>963.35K</t>
  </si>
  <si>
    <t>1.11M</t>
  </si>
  <si>
    <t>927.54K</t>
  </si>
  <si>
    <t>906.08K</t>
  </si>
  <si>
    <t>964.11K</t>
  </si>
  <si>
    <t>865.58K</t>
  </si>
  <si>
    <t>798.29K</t>
  </si>
  <si>
    <t>665.46K</t>
  </si>
  <si>
    <t>771.03K</t>
  </si>
  <si>
    <t>755.91K</t>
  </si>
  <si>
    <t>1.10M</t>
  </si>
  <si>
    <t>763.96K</t>
  </si>
  <si>
    <t>876.73K</t>
  </si>
  <si>
    <t>1.08M</t>
  </si>
  <si>
    <t>1.01M</t>
  </si>
  <si>
    <t>1.12M</t>
  </si>
  <si>
    <t>880.07K</t>
  </si>
  <si>
    <t>1.27M</t>
  </si>
  <si>
    <t>1.52M</t>
  </si>
  <si>
    <t>1.09M</t>
  </si>
  <si>
    <t>860.80K</t>
  </si>
  <si>
    <t>1.22M</t>
  </si>
  <si>
    <t>1.17M</t>
  </si>
  <si>
    <t>955.63K</t>
  </si>
  <si>
    <t>985.54K</t>
  </si>
  <si>
    <t>874.07K</t>
  </si>
  <si>
    <t>929.53K</t>
  </si>
  <si>
    <t>1.51M</t>
  </si>
  <si>
    <t>982.01K</t>
  </si>
  <si>
    <t>865.43K</t>
  </si>
  <si>
    <t>936.22K</t>
  </si>
  <si>
    <t>747.95K</t>
  </si>
  <si>
    <t>899.26K</t>
  </si>
  <si>
    <t>798.13K</t>
  </si>
  <si>
    <t>709.07K</t>
  </si>
  <si>
    <t>845.89K</t>
  </si>
  <si>
    <t>639.44K</t>
  </si>
  <si>
    <t>795.92K</t>
  </si>
  <si>
    <t>784.56K</t>
  </si>
  <si>
    <t>725.51K</t>
  </si>
  <si>
    <t>645.35K</t>
  </si>
  <si>
    <t>742.81K</t>
  </si>
  <si>
    <t>764.35K</t>
  </si>
  <si>
    <t>632.86K</t>
  </si>
  <si>
    <t>693.03K</t>
  </si>
  <si>
    <t>637.00K</t>
  </si>
  <si>
    <t>636.27K</t>
  </si>
  <si>
    <t>736.08K</t>
  </si>
  <si>
    <t>738.17K</t>
  </si>
  <si>
    <t>476.91K</t>
  </si>
  <si>
    <t>598.50K</t>
  </si>
  <si>
    <t>623.51K</t>
  </si>
  <si>
    <t>778.44K</t>
  </si>
  <si>
    <t>673.10K</t>
  </si>
  <si>
    <t>997.61K</t>
  </si>
  <si>
    <t>779.65K</t>
  </si>
  <si>
    <t>859.68K</t>
  </si>
  <si>
    <t>895.46K</t>
  </si>
  <si>
    <t>852.78K</t>
  </si>
  <si>
    <t>599.77K</t>
  </si>
  <si>
    <t>692.09K</t>
  </si>
  <si>
    <t>730.45K</t>
  </si>
  <si>
    <t>775.47K</t>
  </si>
  <si>
    <t>598.73K</t>
  </si>
  <si>
    <t>642.57K</t>
  </si>
  <si>
    <t>626.08K</t>
  </si>
  <si>
    <t>869.38K</t>
  </si>
  <si>
    <t>944.41K</t>
  </si>
  <si>
    <t>719.96K</t>
  </si>
  <si>
    <t>733.83K</t>
  </si>
  <si>
    <t>676.54K</t>
  </si>
  <si>
    <t>685.06K</t>
  </si>
  <si>
    <t>524.29K</t>
  </si>
  <si>
    <t>522.87K</t>
  </si>
  <si>
    <t>714.27K</t>
  </si>
  <si>
    <t>795.07K</t>
  </si>
  <si>
    <t>1.21M</t>
  </si>
  <si>
    <t>728.17K</t>
  </si>
  <si>
    <t>689.78K</t>
  </si>
  <si>
    <t>768.61K</t>
  </si>
  <si>
    <t>827.71K</t>
  </si>
  <si>
    <t>744.15K</t>
  </si>
  <si>
    <t>741.56K</t>
  </si>
  <si>
    <t>806.77K</t>
  </si>
  <si>
    <t>716.54K</t>
  </si>
  <si>
    <t>688.43K</t>
  </si>
  <si>
    <t>736.16K</t>
  </si>
  <si>
    <t>635.47K</t>
  </si>
  <si>
    <t>661.80K</t>
  </si>
  <si>
    <t>647.01K</t>
  </si>
  <si>
    <t>614.53K</t>
  </si>
  <si>
    <t>644.44K</t>
  </si>
  <si>
    <t>491.06K</t>
  </si>
  <si>
    <t>406.89K</t>
  </si>
  <si>
    <t>566.75K</t>
  </si>
  <si>
    <t>508.55K</t>
  </si>
  <si>
    <t>582.25K</t>
  </si>
  <si>
    <t>536.41K</t>
  </si>
  <si>
    <t>451.95K</t>
  </si>
  <si>
    <t>568.60K</t>
  </si>
  <si>
    <t>731.02K</t>
  </si>
  <si>
    <t>415.12K</t>
  </si>
  <si>
    <t>419.14K</t>
  </si>
  <si>
    <t>547.97K</t>
  </si>
  <si>
    <t>500.18K</t>
  </si>
  <si>
    <t>912.74K</t>
  </si>
  <si>
    <t>713.99K</t>
  </si>
  <si>
    <t>552.30K</t>
  </si>
  <si>
    <t>785.19K</t>
  </si>
  <si>
    <t>799.51K</t>
  </si>
  <si>
    <t>814.46K</t>
  </si>
  <si>
    <t>706.83K</t>
  </si>
  <si>
    <t>753.56K</t>
  </si>
  <si>
    <t>595.29K</t>
  </si>
  <si>
    <t>647.39K</t>
  </si>
  <si>
    <t>699.51K</t>
  </si>
  <si>
    <t>598.11K</t>
  </si>
  <si>
    <t>591.75K</t>
  </si>
  <si>
    <t>710.77K</t>
  </si>
  <si>
    <t>746.95K</t>
  </si>
  <si>
    <t>768.18K</t>
  </si>
  <si>
    <t>809.47K</t>
  </si>
  <si>
    <t>768.73K</t>
  </si>
  <si>
    <t>769.63K</t>
  </si>
  <si>
    <t>730.94K</t>
  </si>
  <si>
    <t>775.73K</t>
  </si>
  <si>
    <t>731.26K</t>
  </si>
  <si>
    <t>723.49K</t>
  </si>
  <si>
    <t>822.29K</t>
  </si>
  <si>
    <t>924.51K</t>
  </si>
  <si>
    <t>876.69K</t>
  </si>
  <si>
    <t>943.33K</t>
  </si>
  <si>
    <t>898.88K</t>
  </si>
  <si>
    <t>805.24K</t>
  </si>
  <si>
    <t>629.42K</t>
  </si>
  <si>
    <t>737.18K</t>
  </si>
  <si>
    <t>768.85K</t>
  </si>
  <si>
    <t>733.00K</t>
  </si>
  <si>
    <t>713.07K</t>
  </si>
  <si>
    <t>679.06K</t>
  </si>
  <si>
    <t>715.51K</t>
  </si>
  <si>
    <t>698.93K</t>
  </si>
  <si>
    <t>745.21K</t>
  </si>
  <si>
    <t>694.35K</t>
  </si>
  <si>
    <t>692.48K</t>
  </si>
  <si>
    <t>758.29K</t>
  </si>
  <si>
    <t>730.99K</t>
  </si>
  <si>
    <t>711.52K</t>
  </si>
  <si>
    <t>700.67K</t>
  </si>
  <si>
    <t>770.09K</t>
  </si>
  <si>
    <t>773.06K</t>
  </si>
  <si>
    <t>783.04K</t>
  </si>
  <si>
    <t>730.50K</t>
  </si>
  <si>
    <t>744.43K</t>
  </si>
  <si>
    <t>798.49K</t>
  </si>
  <si>
    <t>647.16K</t>
  </si>
  <si>
    <t>612.70K</t>
  </si>
  <si>
    <t>618.17K</t>
  </si>
  <si>
    <t>744.95K</t>
  </si>
  <si>
    <t>716.52K</t>
  </si>
  <si>
    <t>770.37K</t>
  </si>
  <si>
    <t>843.60K</t>
  </si>
  <si>
    <t>817.13K</t>
  </si>
  <si>
    <t>986.88K</t>
  </si>
  <si>
    <t>806.49K</t>
  </si>
  <si>
    <t>861.96K</t>
  </si>
  <si>
    <t>890.31K</t>
  </si>
  <si>
    <t>732.82K</t>
  </si>
  <si>
    <t>664.51K</t>
  </si>
  <si>
    <t>727.82K</t>
  </si>
  <si>
    <t>694.06K</t>
  </si>
  <si>
    <t>693.04K</t>
  </si>
  <si>
    <t>661.89K</t>
  </si>
  <si>
    <t>672.84K</t>
  </si>
  <si>
    <t>703.08K</t>
  </si>
  <si>
    <t>780.73K</t>
  </si>
  <si>
    <t>660.95K</t>
  </si>
  <si>
    <t>670.46K</t>
  </si>
  <si>
    <t>690.73K</t>
  </si>
  <si>
    <t>750.48K</t>
  </si>
  <si>
    <t>683.72K</t>
  </si>
  <si>
    <t>700.87K</t>
  </si>
  <si>
    <t>680.90K</t>
  </si>
  <si>
    <t>628.64K</t>
  </si>
  <si>
    <t>701.09K</t>
  </si>
  <si>
    <t>683.85K</t>
  </si>
  <si>
    <t>676.96K</t>
  </si>
  <si>
    <t>624.71K</t>
  </si>
  <si>
    <t>629.10K</t>
  </si>
  <si>
    <t>723.92K</t>
  </si>
  <si>
    <t>641.43K</t>
  </si>
  <si>
    <t>652.70K</t>
  </si>
  <si>
    <t>594.84K</t>
  </si>
  <si>
    <t>673.45K</t>
  </si>
  <si>
    <t>631.67K</t>
  </si>
  <si>
    <t>577.01K</t>
  </si>
  <si>
    <t>643.38K</t>
  </si>
  <si>
    <t>554.46K</t>
  </si>
  <si>
    <t>510.43K</t>
  </si>
  <si>
    <t>603.00K</t>
  </si>
  <si>
    <t>598.27K</t>
  </si>
  <si>
    <t>630.04K</t>
  </si>
  <si>
    <t>578.28K</t>
  </si>
  <si>
    <t>614.82K</t>
  </si>
  <si>
    <t>568.03K</t>
  </si>
  <si>
    <t>519.81K</t>
  </si>
  <si>
    <t>696.60K</t>
  </si>
  <si>
    <t>529.87K</t>
  </si>
  <si>
    <t>523.41K</t>
  </si>
  <si>
    <t>703.18K</t>
  </si>
  <si>
    <t>602.62K</t>
  </si>
  <si>
    <t>634.33K</t>
  </si>
  <si>
    <t>797.39K</t>
  </si>
  <si>
    <t>767.87K</t>
  </si>
  <si>
    <t>785.70K</t>
  </si>
  <si>
    <t>782.27K</t>
  </si>
  <si>
    <t>707.24K</t>
  </si>
  <si>
    <t>758.32K</t>
  </si>
  <si>
    <t>721.92K</t>
  </si>
  <si>
    <t>839.30K</t>
  </si>
  <si>
    <t>986.19K</t>
  </si>
  <si>
    <t>747.42K</t>
  </si>
  <si>
    <t>783.11K</t>
  </si>
  <si>
    <t>779.34K</t>
  </si>
  <si>
    <t>819.29K</t>
  </si>
  <si>
    <t>719.94K</t>
  </si>
  <si>
    <t>845.85K</t>
  </si>
  <si>
    <t>808.31K</t>
  </si>
  <si>
    <t>763.74K</t>
  </si>
  <si>
    <t>790.45K</t>
  </si>
  <si>
    <t>763.43K</t>
  </si>
  <si>
    <t>764.04K</t>
  </si>
  <si>
    <t>527.82K</t>
  </si>
  <si>
    <t>676.98K</t>
  </si>
  <si>
    <t>678.82K</t>
  </si>
  <si>
    <t>723.88K</t>
  </si>
  <si>
    <t>652.81K</t>
  </si>
  <si>
    <t>757.32K</t>
  </si>
  <si>
    <t>813.17K</t>
  </si>
  <si>
    <t>756.11K</t>
  </si>
  <si>
    <t>713.66K</t>
  </si>
  <si>
    <t>623.64K</t>
  </si>
  <si>
    <t>667.89K</t>
  </si>
  <si>
    <t>591.57K</t>
  </si>
  <si>
    <t>675.18K</t>
  </si>
  <si>
    <t>583.59K</t>
  </si>
  <si>
    <t>463.77K</t>
  </si>
  <si>
    <t>626.45K</t>
  </si>
  <si>
    <t>586.05K</t>
  </si>
  <si>
    <t>527.67K</t>
  </si>
  <si>
    <t>520.34K</t>
  </si>
  <si>
    <t>553.59K</t>
  </si>
  <si>
    <t>518.91K</t>
  </si>
  <si>
    <t>684.53K</t>
  </si>
  <si>
    <t>583.31K</t>
  </si>
  <si>
    <t>532.93K</t>
  </si>
  <si>
    <t>446.44K</t>
  </si>
  <si>
    <t>493.56K</t>
  </si>
  <si>
    <t>475.74K</t>
  </si>
  <si>
    <t>550.07K</t>
  </si>
  <si>
    <t>489.69K</t>
  </si>
  <si>
    <t>501.05K</t>
  </si>
  <si>
    <t>500.12K</t>
  </si>
  <si>
    <t>478.68K</t>
  </si>
  <si>
    <t>400.96K</t>
  </si>
  <si>
    <t>518.93K</t>
  </si>
  <si>
    <t>457.83K</t>
  </si>
  <si>
    <t>343.91K</t>
  </si>
  <si>
    <t>376.51K</t>
  </si>
  <si>
    <t>456.75K</t>
  </si>
  <si>
    <t>393.20K</t>
  </si>
  <si>
    <t>268.23K</t>
  </si>
  <si>
    <t>304.33K</t>
  </si>
  <si>
    <t>350.87K</t>
  </si>
  <si>
    <t>318.70K</t>
  </si>
  <si>
    <t>297.60K</t>
  </si>
  <si>
    <t>312.75K</t>
  </si>
  <si>
    <t>436.13K</t>
  </si>
  <si>
    <t>456.06K</t>
  </si>
  <si>
    <t>455.85K</t>
  </si>
  <si>
    <t>428.25K</t>
  </si>
  <si>
    <t>452.49K</t>
  </si>
  <si>
    <t>365.12K</t>
  </si>
  <si>
    <t>412.65K</t>
  </si>
  <si>
    <t>444.33K</t>
  </si>
  <si>
    <t>389.47K</t>
  </si>
  <si>
    <t>443.33K</t>
  </si>
  <si>
    <t>470.51K</t>
  </si>
  <si>
    <t>474.92K</t>
  </si>
  <si>
    <t>359.02K</t>
  </si>
  <si>
    <t>457.23K</t>
  </si>
  <si>
    <t>388.13K</t>
  </si>
  <si>
    <t>470.30K</t>
  </si>
  <si>
    <t>523.96K</t>
  </si>
  <si>
    <t>496.13K</t>
  </si>
  <si>
    <t>456.10K</t>
  </si>
  <si>
    <t>527.16K</t>
  </si>
  <si>
    <t>352.45K</t>
  </si>
  <si>
    <t>340.69K</t>
  </si>
  <si>
    <t>465.36K</t>
  </si>
  <si>
    <t>420.24K</t>
  </si>
  <si>
    <t>361.23K</t>
  </si>
  <si>
    <t>398.46K</t>
  </si>
  <si>
    <t>392.51K</t>
  </si>
  <si>
    <t>401.41K</t>
  </si>
  <si>
    <t>403.44K</t>
  </si>
  <si>
    <t>361.84K</t>
  </si>
  <si>
    <t>395.46K</t>
  </si>
  <si>
    <t>290.43K</t>
  </si>
  <si>
    <t>381.80K</t>
  </si>
  <si>
    <t>364.43K</t>
  </si>
  <si>
    <t>309.91K</t>
  </si>
  <si>
    <t>387.24K</t>
  </si>
  <si>
    <t>318.44K</t>
  </si>
  <si>
    <t>294.02K</t>
  </si>
  <si>
    <t>434.06K</t>
  </si>
  <si>
    <t>346.44K</t>
  </si>
  <si>
    <t>370.49K</t>
  </si>
  <si>
    <t>317.00K</t>
  </si>
  <si>
    <t>352.65K</t>
  </si>
  <si>
    <t>398.32K</t>
  </si>
  <si>
    <t>325.72K</t>
  </si>
  <si>
    <t>352.38K</t>
  </si>
  <si>
    <t>399.07K</t>
  </si>
  <si>
    <t>381.52K</t>
  </si>
  <si>
    <t>286.82K</t>
  </si>
  <si>
    <t>285.69K</t>
  </si>
  <si>
    <t>240.15K</t>
  </si>
  <si>
    <t>227.51K</t>
  </si>
  <si>
    <t>237.51K</t>
  </si>
  <si>
    <t>304.71K</t>
  </si>
  <si>
    <t>256.25K</t>
  </si>
  <si>
    <t>272.49K</t>
  </si>
  <si>
    <t>249.00K</t>
  </si>
  <si>
    <t>309.30K</t>
  </si>
  <si>
    <t>259.89K</t>
  </si>
  <si>
    <t>257.02K</t>
  </si>
  <si>
    <t>306.64K</t>
  </si>
  <si>
    <t>277.45K</t>
  </si>
  <si>
    <t>298.14K</t>
  </si>
  <si>
    <t>249.63K</t>
  </si>
  <si>
    <t>188.95K</t>
  </si>
  <si>
    <t>362.09K</t>
  </si>
  <si>
    <t>328.49K</t>
  </si>
  <si>
    <t>422.71K</t>
  </si>
  <si>
    <t>505.10K</t>
  </si>
  <si>
    <t>240.50K</t>
  </si>
  <si>
    <t>278.60K</t>
  </si>
  <si>
    <t>245.41K</t>
  </si>
  <si>
    <t>285.08K</t>
  </si>
  <si>
    <t>270.68K</t>
  </si>
  <si>
    <t>243.47K</t>
  </si>
  <si>
    <t>258.29K</t>
  </si>
  <si>
    <t>239.14K</t>
  </si>
  <si>
    <t>246.07K</t>
  </si>
  <si>
    <t>291.11K</t>
  </si>
  <si>
    <t>306.08K</t>
  </si>
  <si>
    <t>237.54K</t>
  </si>
  <si>
    <t>330.90K</t>
  </si>
  <si>
    <t>215.09K</t>
  </si>
  <si>
    <t>203.00K</t>
  </si>
  <si>
    <t>223.80K</t>
  </si>
  <si>
    <t>303.55K</t>
  </si>
  <si>
    <t>358.39K</t>
  </si>
  <si>
    <t>389.64K</t>
  </si>
  <si>
    <t>300.39K</t>
  </si>
  <si>
    <t>312.30K</t>
  </si>
  <si>
    <t>370.92K</t>
  </si>
  <si>
    <t>455.36K</t>
  </si>
  <si>
    <t>350.37K</t>
  </si>
  <si>
    <t>440.09K</t>
  </si>
  <si>
    <t>280.31K</t>
  </si>
  <si>
    <t>354.84K</t>
  </si>
  <si>
    <t>412.45K</t>
  </si>
  <si>
    <t>708.24K</t>
  </si>
  <si>
    <t>620.77K</t>
  </si>
  <si>
    <t>707.46K</t>
  </si>
  <si>
    <t>542.87K</t>
  </si>
  <si>
    <t>501.73K</t>
  </si>
  <si>
    <t>572.02K</t>
  </si>
  <si>
    <t>499.61K</t>
  </si>
  <si>
    <t>431.12K</t>
  </si>
  <si>
    <t>351.96K</t>
  </si>
  <si>
    <t>484.71K</t>
  </si>
  <si>
    <t>476.52K</t>
  </si>
  <si>
    <t>318.19K</t>
  </si>
  <si>
    <t>322.22K</t>
  </si>
  <si>
    <t>388.90K</t>
  </si>
  <si>
    <t>Age</t>
  </si>
  <si>
    <t>Male</t>
  </si>
  <si>
    <t>Female</t>
  </si>
  <si>
    <t>Death rates</t>
  </si>
  <si>
    <t>Variance</t>
  </si>
  <si>
    <t>Standard Deviation</t>
  </si>
  <si>
    <t>Lognorm mu</t>
  </si>
  <si>
    <t>Lognorm sigma</t>
  </si>
  <si>
    <t>Reserving</t>
  </si>
  <si>
    <t>Profit Testing</t>
  </si>
  <si>
    <t>Run number 4</t>
  </si>
  <si>
    <t>Daily change %</t>
  </si>
  <si>
    <t>Volume</t>
  </si>
  <si>
    <t>Low</t>
  </si>
  <si>
    <t>High</t>
  </si>
  <si>
    <t>Open</t>
  </si>
  <si>
    <t>Close</t>
  </si>
  <si>
    <t>Date</t>
  </si>
  <si>
    <t>(-831,147.37, 392,386.05)</t>
  </si>
  <si>
    <t>Run number 5</t>
  </si>
  <si>
    <t>558,585.94 VND</t>
  </si>
  <si>
    <t>Run number 3</t>
  </si>
  <si>
    <t>1,572,586.34 VND</t>
  </si>
  <si>
    <t>Quantile Reserving</t>
  </si>
  <si>
    <t>CTE Reserving</t>
  </si>
  <si>
    <t>(1,663,431.70, 1,737,249.39)</t>
  </si>
  <si>
    <t>1,616,133.98 VND</t>
  </si>
  <si>
    <t>1,599,430.44 VND</t>
  </si>
  <si>
    <t>1,437,946.17 VND</t>
  </si>
  <si>
    <t>Daily growth</t>
  </si>
  <si>
    <t>VN - Index (2020 - 2022)</t>
  </si>
  <si>
    <t>Note</t>
  </si>
  <si>
    <t>Beside 4 colored sheets, all are generated as sample for the run. When clicked Run, the uncolored sheets may get removed.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</si>
</sst>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8" formatCode="&quot;£&quot;#,##0.00;[Red]\-&quot;£&quot;#,##0.00"/>
    <numFmt numFmtId="43" formatCode="_-* #,##0.00_-;\-* #,##0.00_-;_-* &quot;-&quot;??_-;_-@_-"/>
    <numFmt numFmtId="164" formatCode="#,##0.0000_);\(#,##0.0000\)"/>
    <numFmt numFmtId="165" formatCode="_-* #,##0.0000_-;\-* #,##0.0000_-;_-* &quot;-&quot;????_-;_-@_-"/>
    <numFmt numFmtId="166" formatCode="#,##0.0000;\-#,##0.0000"/>
    <numFmt numFmtId="168" formatCode="0.0000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8"/>
      <color theme="3"/>
      <name val="Calibri Light"/>
      <family val="2"/>
      <scheme val="major"/>
    </font>
    <font>
      <b/>
      <sz val="11"/>
      <color theme="0"/>
      <name val="Calibri"/>
      <family val="2"/>
      <scheme val="minor"/>
    </font>
    <font>
      <b/>
      <sz val="20"/>
      <color rgb="FF00206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medium">
        <color rgb="FF002060"/>
      </left>
      <right/>
      <top style="medium">
        <color rgb="FF002060"/>
      </top>
      <bottom/>
      <diagonal/>
    </border>
    <border>
      <left/>
      <right/>
      <top style="medium">
        <color rgb="FF002060"/>
      </top>
      <bottom/>
      <diagonal/>
    </border>
    <border>
      <left/>
      <right style="medium">
        <color rgb="FF002060"/>
      </right>
      <top style="medium">
        <color rgb="FF002060"/>
      </top>
      <bottom/>
      <diagonal/>
    </border>
    <border>
      <left style="medium">
        <color rgb="FF002060"/>
      </left>
      <right/>
      <top/>
      <bottom/>
      <diagonal/>
    </border>
    <border>
      <left/>
      <right style="medium">
        <color rgb="FF002060"/>
      </right>
      <top/>
      <bottom/>
      <diagonal/>
    </border>
    <border>
      <left style="medium">
        <color rgb="FF002060"/>
      </left>
      <right/>
      <top/>
      <bottom style="medium">
        <color rgb="FF002060"/>
      </bottom>
      <diagonal/>
    </border>
    <border>
      <left/>
      <right/>
      <top/>
      <bottom style="medium">
        <color rgb="FF002060"/>
      </bottom>
      <diagonal/>
    </border>
    <border>
      <left/>
      <right style="medium">
        <color rgb="FF002060"/>
      </right>
      <top/>
      <bottom style="medium">
        <color rgb="FF002060"/>
      </bottom>
      <diagonal/>
    </border>
  </borders>
  <cellStyleXfs count="8">
    <xf numFmtId="0" fontId="0" fillId="0" borderId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5" fillId="2" borderId="0" applyNumberFormat="0" applyBorder="0" applyAlignment="0" applyProtection="0"/>
    <xf numFmtId="0" fontId="1" fillId="3" borderId="0" applyNumberFormat="0" applyBorder="0" applyAlignment="0" applyProtection="0"/>
    <xf numFmtId="0" fontId="7" fillId="0" borderId="0" applyNumberForma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45">
    <xf numFmtId="0" fontId="0" fillId="0" borderId="0" xfId="0"/>
    <xf numFmtId="0" fontId="4" fillId="0" borderId="0" xfId="0" applyFont="1" applyAlignment="1">
      <alignment horizontal="center"/>
    </xf>
    <xf numFmtId="39" fontId="1" fillId="3" borderId="0" xfId="4" applyNumberFormat="1"/>
    <xf numFmtId="164" fontId="1" fillId="3" borderId="0" xfId="4" applyNumberFormat="1"/>
    <xf numFmtId="0" fontId="3" fillId="0" borderId="2" xfId="2" applyAlignment="1">
      <alignment horizontal="center"/>
    </xf>
    <xf numFmtId="0" fontId="1" fillId="3" borderId="0" xfId="4"/>
    <xf numFmtId="39" fontId="0" fillId="0" borderId="0" xfId="0" applyNumberFormat="1"/>
    <xf numFmtId="0" fontId="3" fillId="0" borderId="2" xfId="2" applyAlignment="1">
      <alignment horizontal="center" vertical="center"/>
    </xf>
    <xf numFmtId="0" fontId="0" fillId="0" borderId="0" xfId="0" applyAlignment="1">
      <alignment horizontal="center"/>
    </xf>
    <xf numFmtId="8" fontId="0" fillId="0" borderId="0" xfId="0" applyNumberFormat="1"/>
    <xf numFmtId="0" fontId="8" fillId="2" borderId="0" xfId="3" applyFont="1" applyAlignment="1">
      <alignment horizontal="center"/>
    </xf>
    <xf numFmtId="39" fontId="0" fillId="0" borderId="0" xfId="0" applyNumberFormat="1" applyAlignment="1">
      <alignment horizontal="right"/>
    </xf>
    <xf numFmtId="0" fontId="3" fillId="0" borderId="2" xfId="2" applyAlignment="1">
      <alignment horizontal="center"/>
    </xf>
    <xf numFmtId="14" fontId="0" fillId="0" borderId="0" xfId="0" applyNumberFormat="1"/>
    <xf numFmtId="4" fontId="0" fillId="0" borderId="0" xfId="0" applyNumberFormat="1"/>
    <xf numFmtId="10" fontId="0" fillId="0" borderId="0" xfId="0" applyNumberFormat="1"/>
    <xf numFmtId="0" fontId="0" fillId="0" borderId="0" xfId="0" quotePrefix="1"/>
    <xf numFmtId="165" fontId="0" fillId="0" borderId="0" xfId="0" applyNumberFormat="1"/>
    <xf numFmtId="165" fontId="0" fillId="0" borderId="0" xfId="0" applyNumberFormat="1" applyAlignment="1">
      <alignment horizontal="right"/>
    </xf>
    <xf numFmtId="0" fontId="3" fillId="0" borderId="2" xfId="2" applyAlignment="1">
      <alignment horizontal="left" vertical="center"/>
    </xf>
    <xf numFmtId="0" fontId="3" fillId="0" borderId="2" xfId="2" applyAlignment="1">
      <alignment horizontal="right" vertical="center"/>
    </xf>
    <xf numFmtId="0" fontId="4" fillId="0" borderId="0" xfId="0" applyFont="1"/>
    <xf numFmtId="10" fontId="0" fillId="0" borderId="0" xfId="6" applyNumberFormat="1" applyFont="1"/>
    <xf numFmtId="0" fontId="0" fillId="0" borderId="0" xfId="0" applyAlignment="1">
      <alignment horizontal="right"/>
    </xf>
    <xf numFmtId="37" fontId="1" fillId="3" borderId="0" xfId="4" applyNumberFormat="1"/>
    <xf numFmtId="166" fontId="1" fillId="3" borderId="0" xfId="4" applyNumberFormat="1"/>
    <xf numFmtId="0" fontId="3" fillId="0" borderId="2" xfId="2" applyAlignment="1">
      <alignment horizontal="center"/>
    </xf>
    <xf numFmtId="2" fontId="0" fillId="0" borderId="0" xfId="0" applyNumberFormat="1"/>
    <xf numFmtId="43" fontId="0" fillId="0" borderId="0" xfId="7" applyFont="1"/>
    <xf numFmtId="0" fontId="9" fillId="0" borderId="3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2" fillId="0" borderId="1" xfId="1" applyAlignment="1">
      <alignment horizontal="center"/>
    </xf>
    <xf numFmtId="0" fontId="7" fillId="0" borderId="0" xfId="5" applyAlignment="1">
      <alignment horizontal="center" vertical="center" wrapText="1"/>
    </xf>
    <xf numFmtId="0" fontId="3" fillId="0" borderId="2" xfId="2" applyAlignment="1">
      <alignment horizontal="center"/>
    </xf>
    <xf numFmtId="0" fontId="7" fillId="0" borderId="0" xfId="5" applyAlignment="1">
      <alignment horizontal="center" vertical="center"/>
    </xf>
    <xf numFmtId="0" fontId="2" fillId="0" borderId="1" xfId="1" applyAlignment="1">
      <alignment horizontal="center" vertical="center"/>
    </xf>
    <xf numFmtId="168" fontId="4" fillId="0" borderId="0" xfId="0" applyNumberFormat="1" applyFont="1" applyAlignment="1">
      <alignment horizontal="center"/>
    </xf>
    <xf numFmtId="0" fontId="11" fillId="0" borderId="0" xfId="0" applyFont="1"/>
  </cellXfs>
  <cellStyles count="8">
    <cellStyle name="20% - Accent1" xfId="4" builtinId="30"/>
    <cellStyle name="Accent1" xfId="3" builtinId="29"/>
    <cellStyle name="Comma" xfId="7" builtinId="3"/>
    <cellStyle name="Heading 1" xfId="1" builtinId="16"/>
    <cellStyle name="Heading 2" xfId="2" builtinId="17"/>
    <cellStyle name="Normal" xfId="0" builtinId="0"/>
    <cellStyle name="Percent" xfId="6" builtinId="5"/>
    <cellStyle name="Title" xfId="5" builtinId="1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>
      <cx:tx>
        <cx:txData>
          <cx:v>NPV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NPV</a:t>
          </a:r>
        </a:p>
      </cx:txPr>
    </cx:title>
    <cx:plotArea>
      <cx:plotAreaRegion>
        <cx:series layoutId="clusteredColumn" uniqueId="{C6B74D12-18CA-4EB8-B840-4A71437B7E82}">
          <cx:spPr>
            <a:solidFill>
              <a:schemeClr val="accent1">
                <a:lumMod val="60000"/>
                <a:lumOff val="40000"/>
              </a:schemeClr>
            </a:solidFill>
          </cx:spPr>
          <cx:dataId val="0"/>
          <cx:layoutPr>
            <cx:binning intervalClosed="r" underflow="-3000000" overflow="auto">
              <cx:binSize val="30000"/>
            </cx:binning>
          </cx:layoutPr>
        </cx:series>
      </cx:plotAreaRegion>
      <cx:axis id="0">
        <cx:catScaling gapWidth="0"/>
        <cx:tickLabels/>
        <cx:numFmt formatCode="0,,.00&quot;M&quot;" sourceLinked="0"/>
      </cx:axis>
      <cx:axis id="1">
        <cx:valScaling max="45"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7</xdr:col>
          <xdr:colOff>654050</xdr:colOff>
          <xdr:row>7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Deterministic Annual Prem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254000</xdr:colOff>
          <xdr:row>9</xdr:row>
          <xdr:rowOff>12700</xdr:rowOff>
        </xdr:from>
        <xdr:to>
          <xdr:col>8</xdr:col>
          <xdr:colOff>0</xdr:colOff>
          <xdr:row>11</xdr:row>
          <xdr:rowOff>184150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Deterministic Single Prem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</xdr:colOff>
          <xdr:row>4</xdr:row>
          <xdr:rowOff>12700</xdr:rowOff>
        </xdr:from>
        <xdr:to>
          <xdr:col>12</xdr:col>
          <xdr:colOff>0</xdr:colOff>
          <xdr:row>6</xdr:row>
          <xdr:rowOff>184150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Stochastic Annual Prem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14</xdr:row>
          <xdr:rowOff>12700</xdr:rowOff>
        </xdr:from>
        <xdr:to>
          <xdr:col>8</xdr:col>
          <xdr:colOff>6350</xdr:colOff>
          <xdr:row>16</xdr:row>
          <xdr:rowOff>184150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Stochastic Quantile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14</xdr:row>
          <xdr:rowOff>12700</xdr:rowOff>
        </xdr:from>
        <xdr:to>
          <xdr:col>12</xdr:col>
          <xdr:colOff>0</xdr:colOff>
          <xdr:row>16</xdr:row>
          <xdr:rowOff>171450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Stochastic CTE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12700</xdr:colOff>
          <xdr:row>14</xdr:row>
          <xdr:rowOff>12700</xdr:rowOff>
        </xdr:from>
        <xdr:to>
          <xdr:col>20</xdr:col>
          <xdr:colOff>6350</xdr:colOff>
          <xdr:row>16</xdr:row>
          <xdr:rowOff>184150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BS Internally Hedge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12700</xdr:colOff>
          <xdr:row>14</xdr:row>
          <xdr:rowOff>0</xdr:rowOff>
        </xdr:from>
        <xdr:to>
          <xdr:col>16</xdr:col>
          <xdr:colOff>12700</xdr:colOff>
          <xdr:row>16</xdr:row>
          <xdr:rowOff>171450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BS Externally Hedge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479779</xdr:colOff>
      <xdr:row>3</xdr:row>
      <xdr:rowOff>98785</xdr:rowOff>
    </xdr:from>
    <xdr:to>
      <xdr:col>9</xdr:col>
      <xdr:colOff>2441224</xdr:colOff>
      <xdr:row>18</xdr:row>
      <xdr:rowOff>83263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00000000-0008-0000-07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982179" y="848085"/>
              <a:ext cx="4571295" cy="275307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F50C87-D053-44EA-AA14-EB092E00FAE1}">
  <sheetPr codeName="Sheet16">
    <tabColor theme="7"/>
  </sheetPr>
  <dimension ref="B2:D17"/>
  <sheetViews>
    <sheetView tabSelected="1" workbookViewId="0">
      <selection activeCell="L20" sqref="L20"/>
    </sheetView>
  </sheetViews>
  <sheetFormatPr defaultColWidth="9.453125" defaultRowHeight="14.5" x14ac:dyDescent="0.35"/>
  <cols>
    <col min="1" max="1" width="6.7265625" customWidth="1"/>
    <col min="5" max="5" width="3.6328125" customWidth="1"/>
    <col min="9" max="9" width="3.6328125" customWidth="1"/>
    <col min="13" max="13" width="3.6328125" customWidth="1"/>
    <col min="17" max="17" width="3.6328125" customWidth="1"/>
  </cols>
  <sheetData>
    <row r="2" spans="2:4" x14ac:dyDescent="0.35">
      <c r="B2" s="44" t="s">
        <v>566</v>
      </c>
      <c r="C2" t="s">
        <v>567</v>
      </c>
    </row>
    <row r="4" spans="2:4" ht="15" thickBot="1" x14ac:dyDescent="0.4"/>
    <row r="5" spans="2:4" x14ac:dyDescent="0.35">
      <c r="B5" s="29" t="s">
        <v>544</v>
      </c>
      <c r="C5" s="30"/>
      <c r="D5" s="31"/>
    </row>
    <row r="6" spans="2:4" x14ac:dyDescent="0.35">
      <c r="B6" s="32"/>
      <c r="C6" s="33"/>
      <c r="D6" s="34"/>
    </row>
    <row r="7" spans="2:4" ht="15" thickBot="1" x14ac:dyDescent="0.4">
      <c r="B7" s="35"/>
      <c r="C7" s="36"/>
      <c r="D7" s="37"/>
    </row>
    <row r="9" spans="2:4" ht="15" thickBot="1" x14ac:dyDescent="0.4"/>
    <row r="10" spans="2:4" ht="14.5" customHeight="1" x14ac:dyDescent="0.35">
      <c r="B10" s="29" t="s">
        <v>544</v>
      </c>
      <c r="C10" s="30"/>
      <c r="D10" s="31"/>
    </row>
    <row r="11" spans="2:4" ht="14.5" customHeight="1" x14ac:dyDescent="0.35">
      <c r="B11" s="32"/>
      <c r="C11" s="33"/>
      <c r="D11" s="34"/>
    </row>
    <row r="12" spans="2:4" ht="15" customHeight="1" thickBot="1" x14ac:dyDescent="0.4">
      <c r="B12" s="35"/>
      <c r="C12" s="36"/>
      <c r="D12" s="37"/>
    </row>
    <row r="14" spans="2:4" ht="15" thickBot="1" x14ac:dyDescent="0.4"/>
    <row r="15" spans="2:4" x14ac:dyDescent="0.35">
      <c r="B15" s="29" t="s">
        <v>543</v>
      </c>
      <c r="C15" s="30"/>
      <c r="D15" s="31"/>
    </row>
    <row r="16" spans="2:4" x14ac:dyDescent="0.35">
      <c r="B16" s="32"/>
      <c r="C16" s="33"/>
      <c r="D16" s="34"/>
    </row>
    <row r="17" spans="2:4" ht="15" thickBot="1" x14ac:dyDescent="0.4">
      <c r="B17" s="35"/>
      <c r="C17" s="36"/>
      <c r="D17" s="37"/>
    </row>
  </sheetData>
  <mergeCells count="3">
    <mergeCell ref="B5:D7"/>
    <mergeCell ref="B10:D12"/>
    <mergeCell ref="B15:D1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DeterministicProfitTestingAnnualPrem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7</xdr:col>
                    <xdr:colOff>654050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terministicProfitTestingSinglePremium">
                <anchor moveWithCells="1" sizeWithCells="1">
                  <from>
                    <xdr:col>4</xdr:col>
                    <xdr:colOff>254000</xdr:colOff>
                    <xdr:row>9</xdr:row>
                    <xdr:rowOff>12700</xdr:rowOff>
                  </from>
                  <to>
                    <xdr:col>8</xdr:col>
                    <xdr:colOff>0</xdr:colOff>
                    <xdr:row>11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StochasticProfitTestingAnnualPrem">
                <anchor moveWithCells="1" sizeWithCells="1">
                  <from>
                    <xdr:col>9</xdr:col>
                    <xdr:colOff>6350</xdr:colOff>
                    <xdr:row>4</xdr:row>
                    <xdr:rowOff>12700</xdr:rowOff>
                  </from>
                  <to>
                    <xdr:col>12</xdr:col>
                    <xdr:colOff>0</xdr:colOff>
                    <xdr:row>6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StochasticQuantileReserveAnnualPrem">
                <anchor moveWithCells="1" sizeWithCells="1">
                  <from>
                    <xdr:col>5</xdr:col>
                    <xdr:colOff>0</xdr:colOff>
                    <xdr:row>14</xdr:row>
                    <xdr:rowOff>12700</xdr:rowOff>
                  </from>
                  <to>
                    <xdr:col>8</xdr:col>
                    <xdr:colOff>6350</xdr:colOff>
                    <xdr:row>16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Button 6">
              <controlPr defaultSize="0" print="0" autoFill="0" autoPict="0" macro="[0]!StochasticCTEReserveAnnualPrem">
                <anchor moveWithCells="1" sizeWithCells="1">
                  <from>
                    <xdr:col>9</xdr:col>
                    <xdr:colOff>0</xdr:colOff>
                    <xdr:row>14</xdr:row>
                    <xdr:rowOff>12700</xdr:rowOff>
                  </from>
                  <to>
                    <xdr:col>12</xdr:col>
                    <xdr:colOff>0</xdr:colOff>
                    <xdr:row>16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Button 7">
              <controlPr defaultSize="0" print="0" autoFill="0" autoPict="0" macro="[0]!BSIReserveSinglePrem">
                <anchor moveWithCells="1" sizeWithCells="1">
                  <from>
                    <xdr:col>17</xdr:col>
                    <xdr:colOff>12700</xdr:colOff>
                    <xdr:row>14</xdr:row>
                    <xdr:rowOff>12700</xdr:rowOff>
                  </from>
                  <to>
                    <xdr:col>20</xdr:col>
                    <xdr:colOff>6350</xdr:colOff>
                    <xdr:row>16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Button 9">
              <controlPr defaultSize="0" print="0" autoFill="0" autoPict="0" macro="[0]!BSEReserveSinglePrem">
                <anchor moveWithCells="1" sizeWithCells="1">
                  <from>
                    <xdr:col>13</xdr:col>
                    <xdr:colOff>12700</xdr:colOff>
                    <xdr:row>14</xdr:row>
                    <xdr:rowOff>0</xdr:rowOff>
                  </from>
                  <to>
                    <xdr:col>16</xdr:col>
                    <xdr:colOff>12700</xdr:colOff>
                    <xdr:row>16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62F3BD-B386-4B29-9DC4-30B8BD276D4D}">
  <sheetPr codeName="Sheet40">
    <tabColor rgb="FF7030A0"/>
  </sheetPr>
  <dimension ref="A1:C102"/>
  <sheetViews>
    <sheetView workbookViewId="0">
      <selection activeCell="H16" sqref="H16"/>
    </sheetView>
  </sheetViews>
  <sheetFormatPr defaultRowHeight="14.5" x14ac:dyDescent="0.35"/>
  <cols>
    <col min="1" max="1" width="10.1796875" style="8" customWidth="1"/>
    <col min="2" max="3" width="13.1796875" style="8" customWidth="1"/>
  </cols>
  <sheetData>
    <row r="1" spans="1:3" ht="20" thickBot="1" x14ac:dyDescent="0.5">
      <c r="A1" s="38" t="s">
        <v>538</v>
      </c>
      <c r="B1" s="38" t="s">
        <v>536</v>
      </c>
      <c r="C1" s="38" t="s">
        <v>537</v>
      </c>
    </row>
    <row r="2" spans="1:3" ht="18" thickTop="1" thickBot="1" x14ac:dyDescent="0.45">
      <c r="A2" s="12" t="s">
        <v>535</v>
      </c>
      <c r="B2" s="12" t="s">
        <v>536</v>
      </c>
      <c r="C2" s="12" t="s">
        <v>537</v>
      </c>
    </row>
    <row r="3" spans="1:3" ht="15" thickTop="1" x14ac:dyDescent="0.35">
      <c r="A3" s="8">
        <v>0</v>
      </c>
      <c r="B3" s="8">
        <v>2.63E-3</v>
      </c>
      <c r="C3" s="8">
        <v>1.8799999999999999E-3</v>
      </c>
    </row>
    <row r="4" spans="1:3" x14ac:dyDescent="0.35">
      <c r="A4" s="8">
        <v>1</v>
      </c>
      <c r="B4" s="8">
        <v>1.0300000000000001E-3</v>
      </c>
      <c r="C4" s="8">
        <v>8.4000000000000003E-4</v>
      </c>
    </row>
    <row r="5" spans="1:3" x14ac:dyDescent="0.35">
      <c r="A5" s="8">
        <v>2</v>
      </c>
      <c r="B5" s="8">
        <v>9.8999999999999999E-4</v>
      </c>
      <c r="C5" s="8">
        <v>8.0000000000000004E-4</v>
      </c>
    </row>
    <row r="6" spans="1:3" x14ac:dyDescent="0.35">
      <c r="A6" s="8">
        <v>3</v>
      </c>
      <c r="B6" s="8">
        <v>9.7000000000000005E-4</v>
      </c>
      <c r="C6" s="8">
        <v>7.7999999999999999E-4</v>
      </c>
    </row>
    <row r="7" spans="1:3" x14ac:dyDescent="0.35">
      <c r="A7" s="8">
        <v>4</v>
      </c>
      <c r="B7" s="8">
        <v>9.3000000000000005E-4</v>
      </c>
      <c r="C7" s="8">
        <v>7.6999999999999996E-4</v>
      </c>
    </row>
    <row r="8" spans="1:3" x14ac:dyDescent="0.35">
      <c r="A8" s="8">
        <v>5</v>
      </c>
      <c r="B8" s="8">
        <v>8.8000000000000003E-4</v>
      </c>
      <c r="C8" s="8">
        <v>7.5000000000000002E-4</v>
      </c>
    </row>
    <row r="9" spans="1:3" x14ac:dyDescent="0.35">
      <c r="A9" s="8">
        <v>6</v>
      </c>
      <c r="B9" s="8">
        <v>8.3000000000000001E-4</v>
      </c>
      <c r="C9" s="8">
        <v>7.2999999999999996E-4</v>
      </c>
    </row>
    <row r="10" spans="1:3" x14ac:dyDescent="0.35">
      <c r="A10" s="8">
        <v>7</v>
      </c>
      <c r="B10" s="8">
        <v>7.7999999999999999E-4</v>
      </c>
      <c r="C10" s="8">
        <v>7.1000000000000002E-4</v>
      </c>
    </row>
    <row r="11" spans="1:3" x14ac:dyDescent="0.35">
      <c r="A11" s="8">
        <v>8</v>
      </c>
      <c r="B11" s="8">
        <v>7.5000000000000002E-4</v>
      </c>
      <c r="C11" s="8">
        <v>6.9999999999999999E-4</v>
      </c>
    </row>
    <row r="12" spans="1:3" x14ac:dyDescent="0.35">
      <c r="A12" s="8">
        <v>9</v>
      </c>
      <c r="B12" s="8">
        <v>7.3999999999999999E-4</v>
      </c>
      <c r="C12" s="8">
        <v>6.8999999999999997E-4</v>
      </c>
    </row>
    <row r="13" spans="1:3" x14ac:dyDescent="0.35">
      <c r="A13" s="8">
        <v>10</v>
      </c>
      <c r="B13" s="8">
        <v>7.5000000000000002E-4</v>
      </c>
      <c r="C13" s="8">
        <v>6.8000000000000005E-4</v>
      </c>
    </row>
    <row r="14" spans="1:3" x14ac:dyDescent="0.35">
      <c r="A14" s="8">
        <v>11</v>
      </c>
      <c r="B14" s="8">
        <v>8.0999999999999996E-4</v>
      </c>
      <c r="C14" s="8">
        <v>6.9999999999999999E-4</v>
      </c>
    </row>
    <row r="15" spans="1:3" x14ac:dyDescent="0.35">
      <c r="A15" s="8">
        <v>12</v>
      </c>
      <c r="B15" s="8">
        <v>9.2000000000000003E-4</v>
      </c>
      <c r="C15" s="8">
        <v>7.2999999999999996E-4</v>
      </c>
    </row>
    <row r="16" spans="1:3" x14ac:dyDescent="0.35">
      <c r="A16" s="8">
        <v>13</v>
      </c>
      <c r="B16" s="8">
        <v>1.07E-3</v>
      </c>
      <c r="C16" s="8">
        <v>7.6999999999999996E-4</v>
      </c>
    </row>
    <row r="17" spans="1:3" x14ac:dyDescent="0.35">
      <c r="A17" s="8">
        <v>14</v>
      </c>
      <c r="B17" s="8">
        <v>1.24E-3</v>
      </c>
      <c r="C17" s="8">
        <v>8.1999999999999998E-4</v>
      </c>
    </row>
    <row r="18" spans="1:3" x14ac:dyDescent="0.35">
      <c r="A18" s="8">
        <v>15</v>
      </c>
      <c r="B18" s="8">
        <v>1.42E-3</v>
      </c>
      <c r="C18" s="8">
        <v>8.7000000000000001E-4</v>
      </c>
    </row>
    <row r="19" spans="1:3" x14ac:dyDescent="0.35">
      <c r="A19" s="8">
        <v>16</v>
      </c>
      <c r="B19" s="8">
        <v>1.5900000000000001E-3</v>
      </c>
      <c r="C19" s="8">
        <v>9.2000000000000003E-4</v>
      </c>
    </row>
    <row r="20" spans="1:3" x14ac:dyDescent="0.35">
      <c r="A20" s="8">
        <v>17</v>
      </c>
      <c r="B20" s="8">
        <v>1.72E-3</v>
      </c>
      <c r="C20" s="8">
        <v>9.6000000000000002E-4</v>
      </c>
    </row>
    <row r="21" spans="1:3" x14ac:dyDescent="0.35">
      <c r="A21" s="8">
        <v>18</v>
      </c>
      <c r="B21" s="8">
        <v>1.82E-3</v>
      </c>
      <c r="C21" s="8">
        <v>1E-3</v>
      </c>
    </row>
    <row r="22" spans="1:3" x14ac:dyDescent="0.35">
      <c r="A22" s="8">
        <v>19</v>
      </c>
      <c r="B22" s="8">
        <v>1.8799999999999999E-3</v>
      </c>
      <c r="C22" s="8">
        <v>1.0300000000000001E-3</v>
      </c>
    </row>
    <row r="23" spans="1:3" x14ac:dyDescent="0.35">
      <c r="A23" s="8">
        <v>20</v>
      </c>
      <c r="B23" s="8">
        <v>1.9E-3</v>
      </c>
      <c r="C23" s="8">
        <v>1.06E-3</v>
      </c>
    </row>
    <row r="24" spans="1:3" x14ac:dyDescent="0.35">
      <c r="A24" s="8">
        <v>21</v>
      </c>
      <c r="B24" s="8">
        <v>1.9E-3</v>
      </c>
      <c r="C24" s="8">
        <v>1.08E-3</v>
      </c>
    </row>
    <row r="25" spans="1:3" x14ac:dyDescent="0.35">
      <c r="A25" s="8">
        <v>22</v>
      </c>
      <c r="B25" s="8">
        <v>1.8799999999999999E-3</v>
      </c>
      <c r="C25" s="8">
        <v>1.1000000000000001E-3</v>
      </c>
    </row>
    <row r="26" spans="1:3" x14ac:dyDescent="0.35">
      <c r="A26" s="8">
        <v>23</v>
      </c>
      <c r="B26" s="8">
        <v>1.8400000000000001E-3</v>
      </c>
      <c r="C26" s="8">
        <v>1.1199999999999999E-3</v>
      </c>
    </row>
    <row r="27" spans="1:3" x14ac:dyDescent="0.35">
      <c r="A27" s="8">
        <v>24</v>
      </c>
      <c r="B27" s="8">
        <v>1.8E-3</v>
      </c>
      <c r="C27" s="8">
        <v>1.15E-3</v>
      </c>
    </row>
    <row r="28" spans="1:3" x14ac:dyDescent="0.35">
      <c r="A28" s="8">
        <v>25</v>
      </c>
      <c r="B28" s="8">
        <v>1.75E-3</v>
      </c>
      <c r="C28" s="8">
        <v>1.17E-3</v>
      </c>
    </row>
    <row r="29" spans="1:3" x14ac:dyDescent="0.35">
      <c r="A29" s="8">
        <v>26</v>
      </c>
      <c r="B29" s="8">
        <v>1.72E-3</v>
      </c>
      <c r="C29" s="8">
        <v>1.1999999999999999E-3</v>
      </c>
    </row>
    <row r="30" spans="1:3" x14ac:dyDescent="0.35">
      <c r="A30" s="8">
        <v>27</v>
      </c>
      <c r="B30" s="8">
        <v>1.7099999999999999E-3</v>
      </c>
      <c r="C30" s="8">
        <v>1.24E-3</v>
      </c>
    </row>
    <row r="31" spans="1:3" x14ac:dyDescent="0.35">
      <c r="A31" s="8">
        <v>28</v>
      </c>
      <c r="B31" s="8">
        <v>1.6999999999999999E-3</v>
      </c>
      <c r="C31" s="8">
        <v>1.2800000000000001E-3</v>
      </c>
    </row>
    <row r="32" spans="1:3" x14ac:dyDescent="0.35">
      <c r="A32" s="8">
        <v>29</v>
      </c>
      <c r="B32" s="8">
        <v>1.72E-3</v>
      </c>
      <c r="C32" s="8">
        <v>1.32E-3</v>
      </c>
    </row>
    <row r="33" spans="1:3" x14ac:dyDescent="0.35">
      <c r="A33" s="8">
        <v>30</v>
      </c>
      <c r="B33" s="8">
        <v>1.75E-3</v>
      </c>
      <c r="C33" s="8">
        <v>1.3699999999999999E-3</v>
      </c>
    </row>
    <row r="34" spans="1:3" x14ac:dyDescent="0.35">
      <c r="A34" s="8">
        <v>31</v>
      </c>
      <c r="B34" s="8">
        <v>1.8E-3</v>
      </c>
      <c r="C34" s="8">
        <v>1.42E-3</v>
      </c>
    </row>
    <row r="35" spans="1:3" x14ac:dyDescent="0.35">
      <c r="A35" s="8">
        <v>32</v>
      </c>
      <c r="B35" s="8">
        <v>1.8699999999999999E-3</v>
      </c>
      <c r="C35" s="8">
        <v>1.47E-3</v>
      </c>
    </row>
    <row r="36" spans="1:3" x14ac:dyDescent="0.35">
      <c r="A36" s="8">
        <v>33</v>
      </c>
      <c r="B36" s="8">
        <v>1.9499999999999999E-3</v>
      </c>
      <c r="C36" s="8">
        <v>1.5399999999999999E-3</v>
      </c>
    </row>
    <row r="37" spans="1:3" x14ac:dyDescent="0.35">
      <c r="A37" s="8">
        <v>34</v>
      </c>
      <c r="B37" s="8">
        <v>2.0500000000000002E-3</v>
      </c>
      <c r="C37" s="8">
        <v>1.6100000000000001E-3</v>
      </c>
    </row>
    <row r="38" spans="1:3" x14ac:dyDescent="0.35">
      <c r="A38" s="8">
        <v>35</v>
      </c>
      <c r="B38" s="8">
        <v>2.1700000000000001E-3</v>
      </c>
      <c r="C38" s="8">
        <v>1.6999999999999999E-3</v>
      </c>
    </row>
    <row r="39" spans="1:3" x14ac:dyDescent="0.35">
      <c r="A39" s="8">
        <v>36</v>
      </c>
      <c r="B39" s="8">
        <v>2.32E-3</v>
      </c>
      <c r="C39" s="8">
        <v>1.82E-3</v>
      </c>
    </row>
    <row r="40" spans="1:3" x14ac:dyDescent="0.35">
      <c r="A40" s="8">
        <v>37</v>
      </c>
      <c r="B40" s="8">
        <v>2.49E-3</v>
      </c>
      <c r="C40" s="8">
        <v>1.9599999999999999E-3</v>
      </c>
    </row>
    <row r="41" spans="1:3" x14ac:dyDescent="0.35">
      <c r="A41" s="8">
        <v>38</v>
      </c>
      <c r="B41" s="8">
        <v>2.6800000000000001E-3</v>
      </c>
      <c r="C41" s="8">
        <v>2.1299999999999999E-3</v>
      </c>
    </row>
    <row r="42" spans="1:3" x14ac:dyDescent="0.35">
      <c r="A42" s="8">
        <v>39</v>
      </c>
      <c r="B42" s="8">
        <v>2.8999999999999998E-3</v>
      </c>
      <c r="C42" s="8">
        <v>2.32E-3</v>
      </c>
    </row>
    <row r="43" spans="1:3" x14ac:dyDescent="0.35">
      <c r="A43" s="8">
        <v>40</v>
      </c>
      <c r="B43" s="8">
        <v>3.15E-3</v>
      </c>
      <c r="C43" s="8">
        <v>2.5300000000000001E-3</v>
      </c>
    </row>
    <row r="44" spans="1:3" x14ac:dyDescent="0.35">
      <c r="A44" s="8">
        <v>41</v>
      </c>
      <c r="B44" s="8">
        <v>3.4199999999999999E-3</v>
      </c>
      <c r="C44" s="8">
        <v>2.7499999999999998E-3</v>
      </c>
    </row>
    <row r="45" spans="1:3" x14ac:dyDescent="0.35">
      <c r="A45" s="8">
        <v>42</v>
      </c>
      <c r="B45" s="8">
        <v>3.7100000000000002E-3</v>
      </c>
      <c r="C45" s="8">
        <v>2.98E-3</v>
      </c>
    </row>
    <row r="46" spans="1:3" x14ac:dyDescent="0.35">
      <c r="A46" s="8">
        <v>43</v>
      </c>
      <c r="B46" s="8">
        <v>4.0299999999999997E-3</v>
      </c>
      <c r="C46" s="8">
        <v>3.2000000000000002E-3</v>
      </c>
    </row>
    <row r="47" spans="1:3" x14ac:dyDescent="0.35">
      <c r="A47" s="8">
        <v>44</v>
      </c>
      <c r="B47" s="8">
        <v>4.3699999999999998E-3</v>
      </c>
      <c r="C47" s="8">
        <v>3.4399999999999999E-3</v>
      </c>
    </row>
    <row r="48" spans="1:3" x14ac:dyDescent="0.35">
      <c r="A48" s="8">
        <v>45</v>
      </c>
      <c r="B48" s="8">
        <v>4.7299999999999998E-3</v>
      </c>
      <c r="C48" s="8">
        <v>3.6800000000000001E-3</v>
      </c>
    </row>
    <row r="49" spans="1:3" x14ac:dyDescent="0.35">
      <c r="A49" s="8">
        <v>46</v>
      </c>
      <c r="B49" s="8">
        <v>5.1200000000000004E-3</v>
      </c>
      <c r="C49" s="8">
        <v>3.9199999999999999E-3</v>
      </c>
    </row>
    <row r="50" spans="1:3" x14ac:dyDescent="0.35">
      <c r="A50" s="8">
        <v>47</v>
      </c>
      <c r="B50" s="8">
        <v>5.5300000000000002E-3</v>
      </c>
      <c r="C50" s="8">
        <v>4.1900000000000001E-3</v>
      </c>
    </row>
    <row r="51" spans="1:3" x14ac:dyDescent="0.35">
      <c r="A51" s="8">
        <v>48</v>
      </c>
      <c r="B51" s="8">
        <v>5.9699999999999996E-3</v>
      </c>
      <c r="C51" s="8">
        <v>4.4799999999999996E-3</v>
      </c>
    </row>
    <row r="52" spans="1:3" x14ac:dyDescent="0.35">
      <c r="A52" s="8">
        <v>49</v>
      </c>
      <c r="B52" s="8">
        <v>6.4599999999999996E-3</v>
      </c>
      <c r="C52" s="8">
        <v>4.79E-3</v>
      </c>
    </row>
    <row r="53" spans="1:3" x14ac:dyDescent="0.35">
      <c r="A53" s="8">
        <v>50</v>
      </c>
      <c r="B53" s="8">
        <v>7.0000000000000001E-3</v>
      </c>
      <c r="C53" s="8">
        <v>5.13E-3</v>
      </c>
    </row>
    <row r="54" spans="1:3" x14ac:dyDescent="0.35">
      <c r="A54" s="8">
        <v>51</v>
      </c>
      <c r="B54" s="8">
        <v>7.6299999999999996E-3</v>
      </c>
      <c r="C54" s="8">
        <v>5.4999999999999997E-3</v>
      </c>
    </row>
    <row r="55" spans="1:3" x14ac:dyDescent="0.35">
      <c r="A55" s="8">
        <v>52</v>
      </c>
      <c r="B55" s="8">
        <v>8.3300000000000006E-3</v>
      </c>
      <c r="C55" s="8">
        <v>5.9199999999999999E-3</v>
      </c>
    </row>
    <row r="56" spans="1:3" x14ac:dyDescent="0.35">
      <c r="A56" s="8">
        <v>53</v>
      </c>
      <c r="B56" s="8">
        <v>9.1299999999999992E-3</v>
      </c>
      <c r="C56" s="8">
        <v>6.3800000000000003E-3</v>
      </c>
    </row>
    <row r="57" spans="1:3" x14ac:dyDescent="0.35">
      <c r="A57" s="8">
        <v>54</v>
      </c>
      <c r="B57" s="8">
        <v>1.001E-2</v>
      </c>
      <c r="C57" s="8">
        <v>6.8500000000000002E-3</v>
      </c>
    </row>
    <row r="58" spans="1:3" x14ac:dyDescent="0.35">
      <c r="A58" s="8">
        <v>55</v>
      </c>
      <c r="B58" s="8">
        <v>1.0959999999999999E-2</v>
      </c>
      <c r="C58" s="8">
        <v>7.3299999999999997E-3</v>
      </c>
    </row>
    <row r="59" spans="1:3" x14ac:dyDescent="0.35">
      <c r="A59" s="8">
        <v>56</v>
      </c>
      <c r="B59" s="8">
        <v>1.197E-2</v>
      </c>
      <c r="C59" s="8">
        <v>7.7999999999999996E-3</v>
      </c>
    </row>
    <row r="60" spans="1:3" x14ac:dyDescent="0.35">
      <c r="A60" s="8">
        <v>57</v>
      </c>
      <c r="B60" s="8">
        <v>1.304E-2</v>
      </c>
      <c r="C60" s="8">
        <v>8.2500000000000004E-3</v>
      </c>
    </row>
    <row r="61" spans="1:3" x14ac:dyDescent="0.35">
      <c r="A61" s="8">
        <v>58</v>
      </c>
      <c r="B61" s="8">
        <v>1.418E-2</v>
      </c>
      <c r="C61" s="8">
        <v>8.6999999999999994E-3</v>
      </c>
    </row>
    <row r="62" spans="1:3" x14ac:dyDescent="0.35">
      <c r="A62" s="8">
        <v>59</v>
      </c>
      <c r="B62" s="8">
        <v>1.542E-2</v>
      </c>
      <c r="C62" s="8">
        <v>9.1999999999999998E-3</v>
      </c>
    </row>
    <row r="63" spans="1:3" x14ac:dyDescent="0.35">
      <c r="A63" s="8">
        <v>60</v>
      </c>
      <c r="B63" s="8">
        <v>1.6799999999999999E-2</v>
      </c>
      <c r="C63" s="8">
        <v>9.7999999999999997E-3</v>
      </c>
    </row>
    <row r="64" spans="1:3" x14ac:dyDescent="0.35">
      <c r="A64" s="8">
        <v>61</v>
      </c>
      <c r="B64" s="8">
        <v>1.8360000000000001E-2</v>
      </c>
      <c r="C64" s="8">
        <v>1.0540000000000001E-2</v>
      </c>
    </row>
    <row r="65" spans="1:3" x14ac:dyDescent="0.35">
      <c r="A65" s="8">
        <v>62</v>
      </c>
      <c r="B65" s="8">
        <v>2.0119999999999999E-2</v>
      </c>
      <c r="C65" s="8">
        <v>1.149E-2</v>
      </c>
    </row>
    <row r="66" spans="1:3" x14ac:dyDescent="0.35">
      <c r="A66" s="8">
        <v>63</v>
      </c>
      <c r="B66" s="8">
        <v>2.2089999999999999E-2</v>
      </c>
      <c r="C66" s="8">
        <v>1.2630000000000001E-2</v>
      </c>
    </row>
    <row r="67" spans="1:3" x14ac:dyDescent="0.35">
      <c r="A67" s="8">
        <v>64</v>
      </c>
      <c r="B67" s="8">
        <v>2.427E-2</v>
      </c>
      <c r="C67" s="8">
        <v>1.392E-2</v>
      </c>
    </row>
    <row r="68" spans="1:3" x14ac:dyDescent="0.35">
      <c r="A68" s="8">
        <v>65</v>
      </c>
      <c r="B68" s="8">
        <v>2.6620000000000001E-2</v>
      </c>
      <c r="C68" s="8">
        <v>1.529E-2</v>
      </c>
    </row>
    <row r="69" spans="1:3" x14ac:dyDescent="0.35">
      <c r="A69" s="8">
        <v>66</v>
      </c>
      <c r="B69" s="8">
        <v>2.913E-2</v>
      </c>
      <c r="C69" s="8">
        <v>1.6709999999999999E-2</v>
      </c>
    </row>
    <row r="70" spans="1:3" x14ac:dyDescent="0.35">
      <c r="A70" s="8">
        <v>67</v>
      </c>
      <c r="B70" s="8">
        <v>3.1789999999999999E-2</v>
      </c>
      <c r="C70" s="8">
        <v>1.813E-2</v>
      </c>
    </row>
    <row r="71" spans="1:3" x14ac:dyDescent="0.35">
      <c r="A71" s="8">
        <v>68</v>
      </c>
      <c r="B71" s="8">
        <v>3.465E-2</v>
      </c>
      <c r="C71" s="8">
        <v>1.959E-2</v>
      </c>
    </row>
    <row r="72" spans="1:3" x14ac:dyDescent="0.35">
      <c r="A72" s="8">
        <v>69</v>
      </c>
      <c r="B72" s="8">
        <v>3.7810000000000003E-2</v>
      </c>
      <c r="C72" s="8">
        <v>2.1229999999999999E-2</v>
      </c>
    </row>
    <row r="73" spans="1:3" x14ac:dyDescent="0.35">
      <c r="A73" s="8">
        <v>70</v>
      </c>
      <c r="B73" s="8">
        <v>4.1369999999999997E-2</v>
      </c>
      <c r="C73" s="8">
        <v>2.316E-2</v>
      </c>
    </row>
    <row r="74" spans="1:3" x14ac:dyDescent="0.35">
      <c r="A74" s="8">
        <v>71</v>
      </c>
      <c r="B74" s="8">
        <v>4.5429999999999998E-2</v>
      </c>
      <c r="C74" s="8">
        <v>2.5530000000000001E-2</v>
      </c>
    </row>
    <row r="75" spans="1:3" x14ac:dyDescent="0.35">
      <c r="A75" s="8">
        <v>72</v>
      </c>
      <c r="B75" s="8">
        <v>5.008E-2</v>
      </c>
      <c r="C75" s="8">
        <v>2.8469999999999999E-2</v>
      </c>
    </row>
    <row r="76" spans="1:3" x14ac:dyDescent="0.35">
      <c r="A76" s="8">
        <v>73</v>
      </c>
      <c r="B76" s="8">
        <v>5.534E-2</v>
      </c>
      <c r="C76" s="8">
        <v>3.1989999999999998E-2</v>
      </c>
    </row>
    <row r="77" spans="1:3" x14ac:dyDescent="0.35">
      <c r="A77" s="8">
        <v>74</v>
      </c>
      <c r="B77" s="8">
        <v>6.1100000000000002E-2</v>
      </c>
      <c r="C77" s="8">
        <v>3.6049999999999999E-2</v>
      </c>
    </row>
    <row r="78" spans="1:3" x14ac:dyDescent="0.35">
      <c r="A78" s="8">
        <v>75</v>
      </c>
      <c r="B78" s="8">
        <v>6.7250000000000004E-2</v>
      </c>
      <c r="C78" s="8">
        <v>4.0559999999999999E-2</v>
      </c>
    </row>
    <row r="79" spans="1:3" x14ac:dyDescent="0.35">
      <c r="A79" s="8">
        <v>76</v>
      </c>
      <c r="B79" s="8">
        <v>7.3700000000000002E-2</v>
      </c>
      <c r="C79" s="8">
        <v>4.5449999999999997E-2</v>
      </c>
    </row>
    <row r="80" spans="1:3" x14ac:dyDescent="0.35">
      <c r="A80" s="8">
        <v>77</v>
      </c>
      <c r="B80" s="8">
        <v>8.0369999999999997E-2</v>
      </c>
      <c r="C80" s="8">
        <v>5.0680000000000003E-2</v>
      </c>
    </row>
    <row r="81" spans="1:3" x14ac:dyDescent="0.35">
      <c r="A81" s="8">
        <v>78</v>
      </c>
      <c r="B81" s="8">
        <v>8.7319999999999995E-2</v>
      </c>
      <c r="C81" s="8">
        <v>5.6320000000000002E-2</v>
      </c>
    </row>
    <row r="82" spans="1:3" x14ac:dyDescent="0.35">
      <c r="A82" s="8">
        <v>79</v>
      </c>
      <c r="B82" s="8">
        <v>9.4759999999999997E-2</v>
      </c>
      <c r="C82" s="8">
        <v>6.2570000000000001E-2</v>
      </c>
    </row>
    <row r="83" spans="1:3" x14ac:dyDescent="0.35">
      <c r="A83" s="8">
        <v>80</v>
      </c>
      <c r="B83" s="8">
        <v>0.10294</v>
      </c>
      <c r="C83" s="8">
        <v>6.9669999999999996E-2</v>
      </c>
    </row>
    <row r="84" spans="1:3" x14ac:dyDescent="0.35">
      <c r="A84" s="8">
        <v>81</v>
      </c>
      <c r="B84" s="8">
        <v>0.11209</v>
      </c>
      <c r="C84" s="8">
        <v>7.7829999999999996E-2</v>
      </c>
    </row>
    <row r="85" spans="1:3" x14ac:dyDescent="0.35">
      <c r="A85" s="8">
        <v>82</v>
      </c>
      <c r="B85" s="8">
        <v>0.12241</v>
      </c>
      <c r="C85" s="8">
        <v>8.7249999999999994E-2</v>
      </c>
    </row>
    <row r="86" spans="1:3" x14ac:dyDescent="0.35">
      <c r="A86" s="8">
        <v>83</v>
      </c>
      <c r="B86" s="8">
        <v>0.13383999999999999</v>
      </c>
      <c r="C86" s="8">
        <v>9.7900000000000001E-2</v>
      </c>
    </row>
    <row r="87" spans="1:3" x14ac:dyDescent="0.35">
      <c r="A87" s="8">
        <v>84</v>
      </c>
      <c r="B87" s="8">
        <v>0.14612</v>
      </c>
      <c r="C87" s="8">
        <v>0.10962</v>
      </c>
    </row>
    <row r="88" spans="1:3" x14ac:dyDescent="0.35">
      <c r="A88" s="8">
        <v>85</v>
      </c>
      <c r="B88" s="8">
        <v>0.15898000000000001</v>
      </c>
      <c r="C88" s="8">
        <v>0.12229</v>
      </c>
    </row>
    <row r="89" spans="1:3" x14ac:dyDescent="0.35">
      <c r="A89" s="8">
        <v>86</v>
      </c>
      <c r="B89" s="8">
        <v>0.17221</v>
      </c>
      <c r="C89" s="8">
        <v>0.13582</v>
      </c>
    </row>
    <row r="90" spans="1:3" x14ac:dyDescent="0.35">
      <c r="A90" s="8">
        <v>87</v>
      </c>
      <c r="B90" s="8">
        <v>0.18573000000000001</v>
      </c>
      <c r="C90" s="8">
        <v>0.15018000000000001</v>
      </c>
    </row>
    <row r="91" spans="1:3" x14ac:dyDescent="0.35">
      <c r="A91" s="8">
        <v>88</v>
      </c>
      <c r="B91" s="8">
        <v>0.19953000000000001</v>
      </c>
      <c r="C91" s="8">
        <v>0.16538</v>
      </c>
    </row>
    <row r="92" spans="1:3" x14ac:dyDescent="0.35">
      <c r="A92" s="8">
        <v>89</v>
      </c>
      <c r="B92" s="8">
        <v>0.21368999999999999</v>
      </c>
      <c r="C92" s="8">
        <v>0.18154000000000001</v>
      </c>
    </row>
    <row r="93" spans="1:3" x14ac:dyDescent="0.35">
      <c r="A93" s="8">
        <v>90</v>
      </c>
      <c r="B93" s="8">
        <v>0.22842000000000001</v>
      </c>
      <c r="C93" s="8">
        <v>0.19885</v>
      </c>
    </row>
    <row r="94" spans="1:3" x14ac:dyDescent="0.35">
      <c r="A94" s="8">
        <v>91</v>
      </c>
      <c r="B94" s="8">
        <v>0.24410999999999999</v>
      </c>
      <c r="C94" s="8">
        <v>0.21768000000000001</v>
      </c>
    </row>
    <row r="95" spans="1:3" x14ac:dyDescent="0.35">
      <c r="A95" s="8">
        <v>92</v>
      </c>
      <c r="B95" s="8">
        <v>0.26143</v>
      </c>
      <c r="C95" s="8">
        <v>0.23869000000000001</v>
      </c>
    </row>
    <row r="96" spans="1:3" x14ac:dyDescent="0.35">
      <c r="A96" s="8">
        <v>93</v>
      </c>
      <c r="B96" s="8">
        <v>0.28212999999999999</v>
      </c>
      <c r="C96" s="8">
        <v>0.26340999999999998</v>
      </c>
    </row>
    <row r="97" spans="1:3" x14ac:dyDescent="0.35">
      <c r="A97" s="8">
        <v>94</v>
      </c>
      <c r="B97" s="8">
        <v>0.30997000000000002</v>
      </c>
      <c r="C97" s="8">
        <v>0.29522999999999999</v>
      </c>
    </row>
    <row r="98" spans="1:3" x14ac:dyDescent="0.35">
      <c r="A98" s="8">
        <v>95</v>
      </c>
      <c r="B98" s="8">
        <v>0.35186000000000001</v>
      </c>
      <c r="C98" s="8">
        <v>0.34101999999999999</v>
      </c>
    </row>
    <row r="99" spans="1:3" x14ac:dyDescent="0.35">
      <c r="A99" s="8">
        <v>96</v>
      </c>
      <c r="B99" s="8">
        <v>0.42098999999999998</v>
      </c>
      <c r="C99" s="8">
        <v>0.41388000000000003</v>
      </c>
    </row>
    <row r="100" spans="1:3" x14ac:dyDescent="0.35">
      <c r="A100" s="8">
        <v>97</v>
      </c>
      <c r="B100" s="8">
        <v>0.54100000000000004</v>
      </c>
      <c r="C100" s="8">
        <v>0.53724000000000005</v>
      </c>
    </row>
    <row r="101" spans="1:3" x14ac:dyDescent="0.35">
      <c r="A101" s="8">
        <v>98</v>
      </c>
      <c r="B101" s="8">
        <v>0.74514999999999998</v>
      </c>
      <c r="C101" s="8">
        <v>0.74395999999999995</v>
      </c>
    </row>
    <row r="102" spans="1:3" x14ac:dyDescent="0.35">
      <c r="A102" s="8">
        <v>99</v>
      </c>
      <c r="B102" s="8">
        <v>1</v>
      </c>
      <c r="C102" s="8">
        <v>1</v>
      </c>
    </row>
  </sheetData>
  <mergeCells count="1">
    <mergeCell ref="A1:C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D826A-564A-408C-95E9-F69D2B176C22}">
  <sheetPr codeName="Sheet41">
    <tabColor theme="4"/>
  </sheetPr>
  <dimension ref="A1:L502"/>
  <sheetViews>
    <sheetView topLeftCell="D1" workbookViewId="0">
      <selection activeCell="K7" sqref="K7"/>
    </sheetView>
  </sheetViews>
  <sheetFormatPr defaultRowHeight="14.5" x14ac:dyDescent="0.35"/>
  <cols>
    <col min="1" max="6" width="14.26953125" customWidth="1"/>
    <col min="7" max="7" width="15.7265625" bestFit="1" customWidth="1"/>
    <col min="8" max="8" width="12" bestFit="1" customWidth="1"/>
    <col min="9" max="9" width="16.81640625" bestFit="1" customWidth="1"/>
    <col min="10" max="10" width="14.54296875" customWidth="1"/>
  </cols>
  <sheetData>
    <row r="1" spans="1:12" s="21" customFormat="1" ht="17.5" thickBot="1" x14ac:dyDescent="0.4">
      <c r="A1" s="7" t="s">
        <v>552</v>
      </c>
      <c r="B1" s="7" t="s">
        <v>551</v>
      </c>
      <c r="C1" s="7" t="s">
        <v>550</v>
      </c>
      <c r="D1" s="7" t="s">
        <v>549</v>
      </c>
      <c r="E1" s="7" t="s">
        <v>548</v>
      </c>
      <c r="F1" s="7" t="s">
        <v>547</v>
      </c>
      <c r="G1" s="7" t="s">
        <v>546</v>
      </c>
    </row>
    <row r="2" spans="1:12" ht="15" thickTop="1" x14ac:dyDescent="0.35">
      <c r="A2" s="13">
        <v>43978</v>
      </c>
      <c r="B2">
        <v>857.48</v>
      </c>
      <c r="C2">
        <v>869.13</v>
      </c>
      <c r="D2">
        <v>875.35</v>
      </c>
      <c r="E2">
        <v>857.48</v>
      </c>
      <c r="F2" s="23" t="s">
        <v>534</v>
      </c>
      <c r="G2" s="15"/>
      <c r="H2" s="22"/>
    </row>
    <row r="3" spans="1:12" ht="17.5" thickBot="1" x14ac:dyDescent="0.4">
      <c r="A3" s="13">
        <v>43979</v>
      </c>
      <c r="B3">
        <v>861.39</v>
      </c>
      <c r="C3">
        <v>858.97</v>
      </c>
      <c r="D3">
        <v>866.17</v>
      </c>
      <c r="E3">
        <v>856.48</v>
      </c>
      <c r="F3" s="23" t="s">
        <v>533</v>
      </c>
      <c r="G3" s="22">
        <f>LN(B3/B2)+1</f>
        <v>1.0045495083910996</v>
      </c>
      <c r="I3" s="19" t="s">
        <v>19</v>
      </c>
      <c r="J3" s="20" t="s">
        <v>20</v>
      </c>
    </row>
    <row r="4" spans="1:12" ht="15" thickTop="1" x14ac:dyDescent="0.35">
      <c r="A4" s="13">
        <v>43980</v>
      </c>
      <c r="B4">
        <v>864.47</v>
      </c>
      <c r="C4">
        <v>861.59</v>
      </c>
      <c r="D4">
        <v>866.95</v>
      </c>
      <c r="E4">
        <v>859.26</v>
      </c>
      <c r="F4" s="23" t="s">
        <v>532</v>
      </c>
      <c r="G4" s="22">
        <f t="shared" ref="G4:G67" si="0">LN(B4/B3)+1</f>
        <v>1.0035692388372124</v>
      </c>
      <c r="I4" t="s">
        <v>41</v>
      </c>
      <c r="J4" s="17">
        <f>(AVERAGE(G3:G502)-1)*252+1</f>
        <v>1.1989850553139441</v>
      </c>
      <c r="L4" s="16" t="s">
        <v>42</v>
      </c>
    </row>
    <row r="5" spans="1:12" x14ac:dyDescent="0.35">
      <c r="A5" s="13">
        <v>43983</v>
      </c>
      <c r="B5">
        <v>878.67</v>
      </c>
      <c r="C5">
        <v>868.97</v>
      </c>
      <c r="D5">
        <v>878.67</v>
      </c>
      <c r="E5">
        <v>868.97</v>
      </c>
      <c r="F5" s="23" t="s">
        <v>531</v>
      </c>
      <c r="G5" s="22">
        <f t="shared" si="0"/>
        <v>1.0162927981925527</v>
      </c>
      <c r="I5" t="s">
        <v>539</v>
      </c>
      <c r="J5" s="17">
        <f>_xlfn.VAR.P(G3:G503)*252</f>
        <v>4.4482751401273779E-2</v>
      </c>
      <c r="L5" s="16" t="s">
        <v>44</v>
      </c>
    </row>
    <row r="6" spans="1:12" x14ac:dyDescent="0.35">
      <c r="A6" s="13">
        <v>43984</v>
      </c>
      <c r="B6">
        <v>874.8</v>
      </c>
      <c r="C6">
        <v>879.23</v>
      </c>
      <c r="D6">
        <v>882.73</v>
      </c>
      <c r="E6">
        <v>874.53</v>
      </c>
      <c r="F6" s="23" t="s">
        <v>530</v>
      </c>
      <c r="G6" s="22">
        <f t="shared" si="0"/>
        <v>0.99558588822881322</v>
      </c>
      <c r="I6" t="s">
        <v>540</v>
      </c>
      <c r="J6" s="18">
        <f>J5^0.5</f>
        <v>0.2109093440349995</v>
      </c>
      <c r="K6">
        <f>_xlfn.STDEV.P(G3:G502)</f>
        <v>1.3286039845151731E-2</v>
      </c>
    </row>
    <row r="7" spans="1:12" x14ac:dyDescent="0.35">
      <c r="A7" s="13">
        <v>43985</v>
      </c>
      <c r="B7">
        <v>881.17</v>
      </c>
      <c r="C7">
        <v>876.73</v>
      </c>
      <c r="D7">
        <v>881.17</v>
      </c>
      <c r="E7">
        <v>874.01</v>
      </c>
      <c r="F7" s="23" t="s">
        <v>529</v>
      </c>
      <c r="G7" s="22">
        <f t="shared" si="0"/>
        <v>1.0072552810612552</v>
      </c>
      <c r="I7" t="s">
        <v>541</v>
      </c>
      <c r="J7" s="17">
        <f>LN(J4)-J8^2/2</f>
        <v>0.16623839476847502</v>
      </c>
      <c r="L7" s="16" t="s">
        <v>47</v>
      </c>
    </row>
    <row r="8" spans="1:12" x14ac:dyDescent="0.35">
      <c r="A8" s="13">
        <v>43986</v>
      </c>
      <c r="B8">
        <v>883.9</v>
      </c>
      <c r="C8">
        <v>883.22</v>
      </c>
      <c r="D8">
        <v>888.32</v>
      </c>
      <c r="E8">
        <v>883.22</v>
      </c>
      <c r="F8" s="23" t="s">
        <v>528</v>
      </c>
      <c r="G8" s="22">
        <f t="shared" si="0"/>
        <v>1.0030933642030342</v>
      </c>
      <c r="I8" t="s">
        <v>542</v>
      </c>
      <c r="J8" s="17">
        <f>LN(J5/J4^2+1)^0.5</f>
        <v>0.17456813516369857</v>
      </c>
      <c r="L8" s="16" t="s">
        <v>49</v>
      </c>
    </row>
    <row r="9" spans="1:12" x14ac:dyDescent="0.35">
      <c r="A9" s="13">
        <v>43987</v>
      </c>
      <c r="B9">
        <v>886.22</v>
      </c>
      <c r="C9">
        <v>883.4</v>
      </c>
      <c r="D9">
        <v>886.59</v>
      </c>
      <c r="E9">
        <v>878.5</v>
      </c>
      <c r="F9" s="23" t="s">
        <v>527</v>
      </c>
      <c r="G9" s="22">
        <f t="shared" si="0"/>
        <v>1.0026212927128411</v>
      </c>
      <c r="J9" s="17">
        <f>EXP(J7+J8^2/2)-J4</f>
        <v>0</v>
      </c>
    </row>
    <row r="10" spans="1:12" x14ac:dyDescent="0.35">
      <c r="A10" s="13">
        <v>43990</v>
      </c>
      <c r="B10">
        <v>899.92</v>
      </c>
      <c r="C10">
        <v>888.7</v>
      </c>
      <c r="D10">
        <v>905.65</v>
      </c>
      <c r="E10">
        <v>888.7</v>
      </c>
      <c r="F10" s="23" t="s">
        <v>526</v>
      </c>
      <c r="G10" s="22">
        <f t="shared" si="0"/>
        <v>1.0153406437048269</v>
      </c>
    </row>
    <row r="11" spans="1:12" x14ac:dyDescent="0.35">
      <c r="A11" s="13">
        <v>43991</v>
      </c>
      <c r="B11">
        <v>899.43</v>
      </c>
      <c r="C11">
        <v>902.26</v>
      </c>
      <c r="D11">
        <v>904.89</v>
      </c>
      <c r="E11">
        <v>898.87</v>
      </c>
      <c r="F11" s="23" t="s">
        <v>525</v>
      </c>
      <c r="G11" s="22">
        <f t="shared" si="0"/>
        <v>0.99945535886613224</v>
      </c>
    </row>
    <row r="12" spans="1:12" x14ac:dyDescent="0.35">
      <c r="A12" s="13">
        <v>43992</v>
      </c>
      <c r="B12">
        <v>900</v>
      </c>
      <c r="C12">
        <v>898.78</v>
      </c>
      <c r="D12">
        <v>902.69</v>
      </c>
      <c r="E12">
        <v>890.3</v>
      </c>
      <c r="F12" s="23" t="s">
        <v>524</v>
      </c>
      <c r="G12" s="22">
        <f t="shared" si="0"/>
        <v>1.0006335339736081</v>
      </c>
    </row>
    <row r="13" spans="1:12" x14ac:dyDescent="0.35">
      <c r="A13" s="13">
        <v>43993</v>
      </c>
      <c r="B13">
        <v>867.37</v>
      </c>
      <c r="C13">
        <v>900.48</v>
      </c>
      <c r="D13">
        <v>903.7</v>
      </c>
      <c r="E13">
        <v>867.37</v>
      </c>
      <c r="F13" s="23" t="s">
        <v>523</v>
      </c>
      <c r="G13" s="22">
        <f t="shared" si="0"/>
        <v>0.963070881359404</v>
      </c>
    </row>
    <row r="14" spans="1:12" x14ac:dyDescent="0.35">
      <c r="A14" s="13">
        <v>43994</v>
      </c>
      <c r="B14">
        <v>863.52</v>
      </c>
      <c r="C14">
        <v>841.85</v>
      </c>
      <c r="D14">
        <v>863.52</v>
      </c>
      <c r="E14">
        <v>841.44</v>
      </c>
      <c r="F14" s="23" t="s">
        <v>522</v>
      </c>
      <c r="G14" s="22">
        <f t="shared" si="0"/>
        <v>0.99555141418661774</v>
      </c>
    </row>
    <row r="15" spans="1:12" x14ac:dyDescent="0.35">
      <c r="A15" s="13">
        <v>43997</v>
      </c>
      <c r="B15">
        <v>832.47</v>
      </c>
      <c r="C15">
        <v>867.52</v>
      </c>
      <c r="D15">
        <v>868.16</v>
      </c>
      <c r="E15">
        <v>832.47</v>
      </c>
      <c r="F15" s="23" t="s">
        <v>521</v>
      </c>
      <c r="G15" s="22">
        <f t="shared" si="0"/>
        <v>0.96338012629891667</v>
      </c>
    </row>
    <row r="16" spans="1:12" x14ac:dyDescent="0.35">
      <c r="A16" s="13">
        <v>43998</v>
      </c>
      <c r="B16">
        <v>856.13</v>
      </c>
      <c r="C16">
        <v>848.86</v>
      </c>
      <c r="D16">
        <v>858.7</v>
      </c>
      <c r="E16">
        <v>844.67</v>
      </c>
      <c r="F16" s="23" t="s">
        <v>520</v>
      </c>
      <c r="G16" s="22">
        <f t="shared" si="0"/>
        <v>1.0280250486004181</v>
      </c>
    </row>
    <row r="17" spans="1:7" x14ac:dyDescent="0.35">
      <c r="A17" s="13">
        <v>43999</v>
      </c>
      <c r="B17">
        <v>854.44</v>
      </c>
      <c r="C17">
        <v>861.05</v>
      </c>
      <c r="D17">
        <v>861.05</v>
      </c>
      <c r="E17">
        <v>852.27</v>
      </c>
      <c r="F17" s="23" t="s">
        <v>519</v>
      </c>
      <c r="G17" s="22">
        <f t="shared" si="0"/>
        <v>0.99802404981980664</v>
      </c>
    </row>
    <row r="18" spans="1:7" x14ac:dyDescent="0.35">
      <c r="A18" s="13">
        <v>44000</v>
      </c>
      <c r="B18">
        <v>855.27</v>
      </c>
      <c r="C18">
        <v>850.92</v>
      </c>
      <c r="D18">
        <v>858.03</v>
      </c>
      <c r="E18">
        <v>847.49</v>
      </c>
      <c r="F18" s="23" t="s">
        <v>518</v>
      </c>
      <c r="G18" s="22">
        <f t="shared" si="0"/>
        <v>1.0009709249699692</v>
      </c>
    </row>
    <row r="19" spans="1:7" x14ac:dyDescent="0.35">
      <c r="A19" s="13">
        <v>44001</v>
      </c>
      <c r="B19">
        <v>868.56</v>
      </c>
      <c r="C19">
        <v>857.77</v>
      </c>
      <c r="D19">
        <v>868.56</v>
      </c>
      <c r="E19">
        <v>857.77</v>
      </c>
      <c r="F19" s="23" t="s">
        <v>517</v>
      </c>
      <c r="G19" s="22">
        <f t="shared" si="0"/>
        <v>1.0154194593641535</v>
      </c>
    </row>
    <row r="20" spans="1:7" x14ac:dyDescent="0.35">
      <c r="A20" s="13">
        <v>44004</v>
      </c>
      <c r="B20">
        <v>871.28</v>
      </c>
      <c r="C20">
        <v>871.56</v>
      </c>
      <c r="D20">
        <v>872.94</v>
      </c>
      <c r="E20">
        <v>867.37</v>
      </c>
      <c r="F20" s="23" t="s">
        <v>516</v>
      </c>
      <c r="G20" s="22">
        <f t="shared" si="0"/>
        <v>1.0031267268438344</v>
      </c>
    </row>
    <row r="21" spans="1:7" x14ac:dyDescent="0.35">
      <c r="A21" s="13">
        <v>44005</v>
      </c>
      <c r="B21">
        <v>868.2</v>
      </c>
      <c r="C21">
        <v>871.12</v>
      </c>
      <c r="D21">
        <v>873.2</v>
      </c>
      <c r="E21">
        <v>864.02</v>
      </c>
      <c r="F21" s="23" t="s">
        <v>515</v>
      </c>
      <c r="G21" s="22">
        <f t="shared" si="0"/>
        <v>0.99645870809806225</v>
      </c>
    </row>
    <row r="22" spans="1:7" x14ac:dyDescent="0.35">
      <c r="A22" s="13">
        <v>44006</v>
      </c>
      <c r="B22">
        <v>859.71</v>
      </c>
      <c r="C22">
        <v>868.2</v>
      </c>
      <c r="D22">
        <v>873.13</v>
      </c>
      <c r="E22">
        <v>857.58</v>
      </c>
      <c r="F22" s="23" t="s">
        <v>514</v>
      </c>
      <c r="G22" s="22">
        <f t="shared" si="0"/>
        <v>0.99017302021189335</v>
      </c>
    </row>
    <row r="23" spans="1:7" x14ac:dyDescent="0.35">
      <c r="A23" s="13">
        <v>44007</v>
      </c>
      <c r="B23">
        <v>854.59</v>
      </c>
      <c r="C23">
        <v>851.09</v>
      </c>
      <c r="D23">
        <v>856.23</v>
      </c>
      <c r="E23">
        <v>849.65</v>
      </c>
      <c r="F23" s="23" t="s">
        <v>513</v>
      </c>
      <c r="G23" s="22">
        <f t="shared" si="0"/>
        <v>0.9940266986833135</v>
      </c>
    </row>
    <row r="24" spans="1:7" x14ac:dyDescent="0.35">
      <c r="A24" s="13">
        <v>44008</v>
      </c>
      <c r="B24">
        <v>851.98</v>
      </c>
      <c r="C24">
        <v>859.07</v>
      </c>
      <c r="D24">
        <v>862.59</v>
      </c>
      <c r="E24">
        <v>850.66</v>
      </c>
      <c r="F24" s="23" t="s">
        <v>512</v>
      </c>
      <c r="G24" s="22">
        <f t="shared" si="0"/>
        <v>0.9969412306146892</v>
      </c>
    </row>
    <row r="25" spans="1:7" x14ac:dyDescent="0.35">
      <c r="A25" s="13">
        <v>44011</v>
      </c>
      <c r="B25">
        <v>829.36</v>
      </c>
      <c r="C25">
        <v>846.26</v>
      </c>
      <c r="D25">
        <v>846.53</v>
      </c>
      <c r="E25">
        <v>826</v>
      </c>
      <c r="F25" s="23" t="s">
        <v>511</v>
      </c>
      <c r="G25" s="22">
        <f t="shared" si="0"/>
        <v>0.97309126663946754</v>
      </c>
    </row>
    <row r="26" spans="1:7" x14ac:dyDescent="0.35">
      <c r="A26" s="13">
        <v>44012</v>
      </c>
      <c r="B26">
        <v>825.11</v>
      </c>
      <c r="C26">
        <v>836.72</v>
      </c>
      <c r="D26">
        <v>840.31</v>
      </c>
      <c r="E26">
        <v>821.92</v>
      </c>
      <c r="F26" s="23" t="s">
        <v>510</v>
      </c>
      <c r="G26" s="22">
        <f t="shared" si="0"/>
        <v>0.99486239176505875</v>
      </c>
    </row>
    <row r="27" spans="1:7" x14ac:dyDescent="0.35">
      <c r="A27" s="13">
        <v>44013</v>
      </c>
      <c r="B27">
        <v>843.49</v>
      </c>
      <c r="C27">
        <v>827.67</v>
      </c>
      <c r="D27">
        <v>844.26</v>
      </c>
      <c r="E27">
        <v>826.38</v>
      </c>
      <c r="F27" s="23" t="s">
        <v>509</v>
      </c>
      <c r="G27" s="22">
        <f t="shared" si="0"/>
        <v>1.0220313357712798</v>
      </c>
    </row>
    <row r="28" spans="1:7" x14ac:dyDescent="0.35">
      <c r="A28" s="13">
        <v>44014</v>
      </c>
      <c r="B28">
        <v>842.38</v>
      </c>
      <c r="C28">
        <v>845.66</v>
      </c>
      <c r="D28">
        <v>845.66</v>
      </c>
      <c r="E28">
        <v>838.48</v>
      </c>
      <c r="F28" s="23" t="s">
        <v>508</v>
      </c>
      <c r="G28" s="22">
        <f t="shared" si="0"/>
        <v>0.99868317229632386</v>
      </c>
    </row>
    <row r="29" spans="1:7" x14ac:dyDescent="0.35">
      <c r="A29" s="13">
        <v>44015</v>
      </c>
      <c r="B29">
        <v>847.61</v>
      </c>
      <c r="C29">
        <v>845.26</v>
      </c>
      <c r="D29">
        <v>848.16</v>
      </c>
      <c r="E29">
        <v>843.25</v>
      </c>
      <c r="F29" s="23" t="s">
        <v>507</v>
      </c>
      <c r="G29" s="22">
        <f t="shared" si="0"/>
        <v>1.0061894054949618</v>
      </c>
    </row>
    <row r="30" spans="1:7" x14ac:dyDescent="0.35">
      <c r="A30" s="13">
        <v>44018</v>
      </c>
      <c r="B30">
        <v>861.16</v>
      </c>
      <c r="C30">
        <v>851.47</v>
      </c>
      <c r="D30">
        <v>861.85</v>
      </c>
      <c r="E30">
        <v>850.04</v>
      </c>
      <c r="F30" s="23" t="s">
        <v>506</v>
      </c>
      <c r="G30" s="22">
        <f t="shared" si="0"/>
        <v>1.0158596932506472</v>
      </c>
    </row>
    <row r="31" spans="1:7" x14ac:dyDescent="0.35">
      <c r="A31" s="13">
        <v>44019</v>
      </c>
      <c r="B31">
        <v>863.42</v>
      </c>
      <c r="C31">
        <v>865.46</v>
      </c>
      <c r="D31">
        <v>870.63</v>
      </c>
      <c r="E31">
        <v>863.42</v>
      </c>
      <c r="F31" s="23" t="s">
        <v>505</v>
      </c>
      <c r="G31" s="22">
        <f t="shared" si="0"/>
        <v>1.0026209294943842</v>
      </c>
    </row>
    <row r="32" spans="1:7" x14ac:dyDescent="0.35">
      <c r="A32" s="13">
        <v>44020</v>
      </c>
      <c r="B32">
        <v>864.5</v>
      </c>
      <c r="C32">
        <v>861.75</v>
      </c>
      <c r="D32">
        <v>865.58</v>
      </c>
      <c r="E32">
        <v>859.98</v>
      </c>
      <c r="F32" s="23" t="s">
        <v>504</v>
      </c>
      <c r="G32" s="22">
        <f t="shared" si="0"/>
        <v>1.0012500580358328</v>
      </c>
    </row>
    <row r="33" spans="1:7" x14ac:dyDescent="0.35">
      <c r="A33" s="13">
        <v>44021</v>
      </c>
      <c r="B33">
        <v>876.46</v>
      </c>
      <c r="C33">
        <v>867.66</v>
      </c>
      <c r="D33">
        <v>878.36</v>
      </c>
      <c r="E33">
        <v>867.45</v>
      </c>
      <c r="F33" s="23" t="s">
        <v>503</v>
      </c>
      <c r="G33" s="22">
        <f t="shared" si="0"/>
        <v>1.0137397621441064</v>
      </c>
    </row>
    <row r="34" spans="1:7" x14ac:dyDescent="0.35">
      <c r="A34" s="13">
        <v>44022</v>
      </c>
      <c r="B34">
        <v>871.21</v>
      </c>
      <c r="C34">
        <v>873.7</v>
      </c>
      <c r="D34">
        <v>878.53</v>
      </c>
      <c r="E34">
        <v>867.59</v>
      </c>
      <c r="F34" s="23" t="s">
        <v>502</v>
      </c>
      <c r="G34" s="22">
        <f t="shared" si="0"/>
        <v>0.99399198270599209</v>
      </c>
    </row>
    <row r="35" spans="1:7" x14ac:dyDescent="0.35">
      <c r="A35" s="13">
        <v>44025</v>
      </c>
      <c r="B35">
        <v>868.72</v>
      </c>
      <c r="C35">
        <v>874.85</v>
      </c>
      <c r="D35">
        <v>876.83</v>
      </c>
      <c r="E35">
        <v>866.99</v>
      </c>
      <c r="F35" s="23" t="s">
        <v>501</v>
      </c>
      <c r="G35" s="22">
        <f t="shared" si="0"/>
        <v>0.99713781393520151</v>
      </c>
    </row>
    <row r="36" spans="1:7" x14ac:dyDescent="0.35">
      <c r="A36" s="13">
        <v>44026</v>
      </c>
      <c r="B36">
        <v>868.11</v>
      </c>
      <c r="C36">
        <v>865.01</v>
      </c>
      <c r="D36">
        <v>868.11</v>
      </c>
      <c r="E36">
        <v>860.28</v>
      </c>
      <c r="F36" s="23" t="s">
        <v>500</v>
      </c>
      <c r="G36" s="22">
        <f t="shared" si="0"/>
        <v>0.99929757083297555</v>
      </c>
    </row>
    <row r="37" spans="1:7" x14ac:dyDescent="0.35">
      <c r="A37" s="13">
        <v>44027</v>
      </c>
      <c r="B37">
        <v>869.91</v>
      </c>
      <c r="C37">
        <v>872.8</v>
      </c>
      <c r="D37">
        <v>876.69</v>
      </c>
      <c r="E37">
        <v>869.91</v>
      </c>
      <c r="F37" s="23" t="s">
        <v>499</v>
      </c>
      <c r="G37" s="22">
        <f t="shared" si="0"/>
        <v>1.0020713232800049</v>
      </c>
    </row>
    <row r="38" spans="1:7" x14ac:dyDescent="0.35">
      <c r="A38" s="13">
        <v>44028</v>
      </c>
      <c r="B38">
        <v>876.83</v>
      </c>
      <c r="C38">
        <v>871.81</v>
      </c>
      <c r="D38">
        <v>876.83</v>
      </c>
      <c r="E38">
        <v>869.25</v>
      </c>
      <c r="F38" s="23" t="s">
        <v>498</v>
      </c>
      <c r="G38" s="22">
        <f t="shared" si="0"/>
        <v>1.0079233729152621</v>
      </c>
    </row>
    <row r="39" spans="1:7" x14ac:dyDescent="0.35">
      <c r="A39" s="13">
        <v>44029</v>
      </c>
      <c r="B39">
        <v>872.02</v>
      </c>
      <c r="C39">
        <v>873.48</v>
      </c>
      <c r="D39">
        <v>875.07</v>
      </c>
      <c r="E39">
        <v>871.89</v>
      </c>
      <c r="F39" s="23" t="s">
        <v>497</v>
      </c>
      <c r="G39" s="22">
        <f t="shared" si="0"/>
        <v>0.99449922848888794</v>
      </c>
    </row>
    <row r="40" spans="1:7" x14ac:dyDescent="0.35">
      <c r="A40" s="13">
        <v>44032</v>
      </c>
      <c r="B40">
        <v>861.4</v>
      </c>
      <c r="C40">
        <v>870.66</v>
      </c>
      <c r="D40">
        <v>871.64</v>
      </c>
      <c r="E40">
        <v>861.4</v>
      </c>
      <c r="F40" s="23" t="s">
        <v>496</v>
      </c>
      <c r="G40" s="22">
        <f t="shared" si="0"/>
        <v>0.98774661319423496</v>
      </c>
    </row>
    <row r="41" spans="1:7" x14ac:dyDescent="0.35">
      <c r="A41" s="13">
        <v>44033</v>
      </c>
      <c r="B41">
        <v>861.69</v>
      </c>
      <c r="C41">
        <v>863.94</v>
      </c>
      <c r="D41">
        <v>864.7</v>
      </c>
      <c r="E41">
        <v>856.94</v>
      </c>
      <c r="F41" s="23" t="s">
        <v>495</v>
      </c>
      <c r="G41" s="22">
        <f t="shared" si="0"/>
        <v>1.000336604591447</v>
      </c>
    </row>
    <row r="42" spans="1:7" x14ac:dyDescent="0.35">
      <c r="A42" s="13">
        <v>44034</v>
      </c>
      <c r="B42">
        <v>855.08</v>
      </c>
      <c r="C42">
        <v>862.8</v>
      </c>
      <c r="D42">
        <v>864</v>
      </c>
      <c r="E42">
        <v>854.97</v>
      </c>
      <c r="F42" s="23" t="s">
        <v>494</v>
      </c>
      <c r="G42" s="22">
        <f t="shared" si="0"/>
        <v>0.99229945459962277</v>
      </c>
    </row>
    <row r="43" spans="1:7" x14ac:dyDescent="0.35">
      <c r="A43" s="13">
        <v>44035</v>
      </c>
      <c r="B43">
        <v>856.75</v>
      </c>
      <c r="C43">
        <v>854.92</v>
      </c>
      <c r="D43">
        <v>857.22</v>
      </c>
      <c r="E43">
        <v>851.97</v>
      </c>
      <c r="F43" s="23" t="s">
        <v>493</v>
      </c>
      <c r="G43" s="22">
        <f t="shared" si="0"/>
        <v>1.001951128943638</v>
      </c>
    </row>
    <row r="44" spans="1:7" x14ac:dyDescent="0.35">
      <c r="A44" s="13">
        <v>44036</v>
      </c>
      <c r="B44">
        <v>829.16</v>
      </c>
      <c r="C44">
        <v>854.23</v>
      </c>
      <c r="D44">
        <v>854.57</v>
      </c>
      <c r="E44">
        <v>816.65</v>
      </c>
      <c r="F44" s="23" t="s">
        <v>492</v>
      </c>
      <c r="G44" s="22">
        <f t="shared" si="0"/>
        <v>0.96726697937659234</v>
      </c>
    </row>
    <row r="45" spans="1:7" x14ac:dyDescent="0.35">
      <c r="A45" s="13">
        <v>44039</v>
      </c>
      <c r="B45">
        <v>785.17</v>
      </c>
      <c r="C45">
        <v>794.14</v>
      </c>
      <c r="D45">
        <v>808.74</v>
      </c>
      <c r="E45">
        <v>780.64</v>
      </c>
      <c r="F45" s="23" t="s">
        <v>491</v>
      </c>
      <c r="G45" s="22">
        <f t="shared" si="0"/>
        <v>0.94548711471480984</v>
      </c>
    </row>
    <row r="46" spans="1:7" x14ac:dyDescent="0.35">
      <c r="A46" s="13">
        <v>44040</v>
      </c>
      <c r="B46">
        <v>813.36</v>
      </c>
      <c r="C46">
        <v>786.72</v>
      </c>
      <c r="D46">
        <v>814.4</v>
      </c>
      <c r="E46">
        <v>786.67</v>
      </c>
      <c r="F46" s="23" t="s">
        <v>490</v>
      </c>
      <c r="G46" s="22">
        <f t="shared" si="0"/>
        <v>1.0352735611207855</v>
      </c>
    </row>
    <row r="47" spans="1:7" x14ac:dyDescent="0.35">
      <c r="A47" s="13">
        <v>44041</v>
      </c>
      <c r="B47">
        <v>790.84</v>
      </c>
      <c r="C47">
        <v>800.39</v>
      </c>
      <c r="D47">
        <v>800.39</v>
      </c>
      <c r="E47">
        <v>779.82</v>
      </c>
      <c r="F47" s="23" t="s">
        <v>489</v>
      </c>
      <c r="G47" s="22">
        <f t="shared" si="0"/>
        <v>0.97192185573977419</v>
      </c>
    </row>
    <row r="48" spans="1:7" x14ac:dyDescent="0.35">
      <c r="A48" s="13">
        <v>44042</v>
      </c>
      <c r="B48">
        <v>801.13</v>
      </c>
      <c r="C48">
        <v>796.22</v>
      </c>
      <c r="D48">
        <v>802.97</v>
      </c>
      <c r="E48">
        <v>794.88</v>
      </c>
      <c r="F48" s="23" t="s">
        <v>488</v>
      </c>
      <c r="G48" s="22">
        <f t="shared" si="0"/>
        <v>1.0129275593215146</v>
      </c>
    </row>
    <row r="49" spans="1:7" x14ac:dyDescent="0.35">
      <c r="A49" s="13">
        <v>44043</v>
      </c>
      <c r="B49">
        <v>798.39</v>
      </c>
      <c r="C49">
        <v>787.78</v>
      </c>
      <c r="D49">
        <v>803.55</v>
      </c>
      <c r="E49">
        <v>786.98</v>
      </c>
      <c r="F49" s="23" t="s">
        <v>487</v>
      </c>
      <c r="G49" s="22">
        <f t="shared" si="0"/>
        <v>0.99657396884052052</v>
      </c>
    </row>
    <row r="50" spans="1:7" x14ac:dyDescent="0.35">
      <c r="A50" s="13">
        <v>44046</v>
      </c>
      <c r="B50">
        <v>814.65</v>
      </c>
      <c r="C50">
        <v>796.86</v>
      </c>
      <c r="D50">
        <v>814.84</v>
      </c>
      <c r="E50">
        <v>796.47</v>
      </c>
      <c r="F50" s="23" t="s">
        <v>486</v>
      </c>
      <c r="G50" s="22">
        <f t="shared" si="0"/>
        <v>1.020161373280249</v>
      </c>
    </row>
    <row r="51" spans="1:7" x14ac:dyDescent="0.35">
      <c r="A51" s="13">
        <v>44047</v>
      </c>
      <c r="B51">
        <v>827.57</v>
      </c>
      <c r="C51">
        <v>822.86</v>
      </c>
      <c r="D51">
        <v>827.57</v>
      </c>
      <c r="E51">
        <v>820.2</v>
      </c>
      <c r="F51" s="23" t="s">
        <v>485</v>
      </c>
      <c r="G51" s="22">
        <f t="shared" si="0"/>
        <v>1.0157351226695555</v>
      </c>
    </row>
    <row r="52" spans="1:7" x14ac:dyDescent="0.35">
      <c r="A52" s="13">
        <v>44048</v>
      </c>
      <c r="B52">
        <v>837.8</v>
      </c>
      <c r="C52">
        <v>827.54</v>
      </c>
      <c r="D52">
        <v>839.52</v>
      </c>
      <c r="E52">
        <v>820.74</v>
      </c>
      <c r="F52" s="23" t="s">
        <v>484</v>
      </c>
      <c r="G52" s="22">
        <f t="shared" si="0"/>
        <v>1.0122857126944149</v>
      </c>
    </row>
    <row r="53" spans="1:7" x14ac:dyDescent="0.35">
      <c r="A53" s="13">
        <v>44049</v>
      </c>
      <c r="B53">
        <v>840.04</v>
      </c>
      <c r="C53">
        <v>838.01</v>
      </c>
      <c r="D53">
        <v>844.16</v>
      </c>
      <c r="E53">
        <v>833.56</v>
      </c>
      <c r="F53" s="23" t="s">
        <v>483</v>
      </c>
      <c r="G53" s="22">
        <f t="shared" si="0"/>
        <v>1.002670101238293</v>
      </c>
    </row>
    <row r="54" spans="1:7" x14ac:dyDescent="0.35">
      <c r="A54" s="13">
        <v>44050</v>
      </c>
      <c r="B54">
        <v>841.46</v>
      </c>
      <c r="C54">
        <v>840.65</v>
      </c>
      <c r="D54">
        <v>844.33</v>
      </c>
      <c r="E54">
        <v>836.84</v>
      </c>
      <c r="F54" s="23" t="s">
        <v>482</v>
      </c>
      <c r="G54" s="22">
        <f t="shared" si="0"/>
        <v>1.0016889685846679</v>
      </c>
    </row>
    <row r="55" spans="1:7" x14ac:dyDescent="0.35">
      <c r="A55" s="13">
        <v>44053</v>
      </c>
      <c r="B55">
        <v>843.2</v>
      </c>
      <c r="C55">
        <v>845.11</v>
      </c>
      <c r="D55">
        <v>849.52</v>
      </c>
      <c r="E55">
        <v>843.2</v>
      </c>
      <c r="F55" s="23" t="s">
        <v>481</v>
      </c>
      <c r="G55" s="22">
        <f t="shared" si="0"/>
        <v>1.0020656994512025</v>
      </c>
    </row>
    <row r="56" spans="1:7" x14ac:dyDescent="0.35">
      <c r="A56" s="13">
        <v>44054</v>
      </c>
      <c r="B56">
        <v>843.08</v>
      </c>
      <c r="C56">
        <v>847.61</v>
      </c>
      <c r="D56">
        <v>847.61</v>
      </c>
      <c r="E56">
        <v>840.35</v>
      </c>
      <c r="F56" s="23" t="s">
        <v>480</v>
      </c>
      <c r="G56" s="22">
        <f t="shared" si="0"/>
        <v>0.99985767488174848</v>
      </c>
    </row>
    <row r="57" spans="1:7" x14ac:dyDescent="0.35">
      <c r="A57" s="13">
        <v>44055</v>
      </c>
      <c r="B57">
        <v>846.92</v>
      </c>
      <c r="C57">
        <v>844.19</v>
      </c>
      <c r="D57">
        <v>848.54</v>
      </c>
      <c r="E57">
        <v>842.88</v>
      </c>
      <c r="F57" s="23" t="s">
        <v>479</v>
      </c>
      <c r="G57" s="22">
        <f t="shared" si="0"/>
        <v>1.004544386518889</v>
      </c>
    </row>
    <row r="58" spans="1:7" x14ac:dyDescent="0.35">
      <c r="A58" s="13">
        <v>44056</v>
      </c>
      <c r="B58">
        <v>855.05</v>
      </c>
      <c r="C58">
        <v>849.96</v>
      </c>
      <c r="D58">
        <v>855.19</v>
      </c>
      <c r="E58">
        <v>849.86</v>
      </c>
      <c r="F58" s="23" t="s">
        <v>478</v>
      </c>
      <c r="G58" s="22">
        <f t="shared" si="0"/>
        <v>1.0095537075713272</v>
      </c>
    </row>
    <row r="59" spans="1:7" x14ac:dyDescent="0.35">
      <c r="A59" s="13">
        <v>44057</v>
      </c>
      <c r="B59">
        <v>850.74</v>
      </c>
      <c r="C59">
        <v>854.29</v>
      </c>
      <c r="D59">
        <v>860.32</v>
      </c>
      <c r="E59">
        <v>848.38</v>
      </c>
      <c r="F59" s="23" t="s">
        <v>477</v>
      </c>
      <c r="G59" s="22">
        <f t="shared" si="0"/>
        <v>0.99494661221845881</v>
      </c>
    </row>
    <row r="60" spans="1:7" x14ac:dyDescent="0.35">
      <c r="A60" s="13">
        <v>44060</v>
      </c>
      <c r="B60">
        <v>850.15</v>
      </c>
      <c r="C60">
        <v>848.08</v>
      </c>
      <c r="D60">
        <v>852.05</v>
      </c>
      <c r="E60">
        <v>841.62</v>
      </c>
      <c r="F60" s="23" t="s">
        <v>476</v>
      </c>
      <c r="G60" s="22">
        <f t="shared" si="0"/>
        <v>0.99930624552597314</v>
      </c>
    </row>
    <row r="61" spans="1:7" x14ac:dyDescent="0.35">
      <c r="A61" s="13">
        <v>44061</v>
      </c>
      <c r="B61">
        <v>846.43</v>
      </c>
      <c r="C61">
        <v>850.15</v>
      </c>
      <c r="D61">
        <v>851.06</v>
      </c>
      <c r="E61">
        <v>845</v>
      </c>
      <c r="F61" s="23" t="s">
        <v>475</v>
      </c>
      <c r="G61" s="22">
        <f t="shared" si="0"/>
        <v>0.99561470020681253</v>
      </c>
    </row>
    <row r="62" spans="1:7" x14ac:dyDescent="0.35">
      <c r="A62" s="13">
        <v>44062</v>
      </c>
      <c r="B62">
        <v>851.21</v>
      </c>
      <c r="C62">
        <v>847.19</v>
      </c>
      <c r="D62">
        <v>853.15</v>
      </c>
      <c r="E62">
        <v>846.22</v>
      </c>
      <c r="F62" s="23" t="s">
        <v>474</v>
      </c>
      <c r="G62" s="22">
        <f t="shared" si="0"/>
        <v>1.0056313619283648</v>
      </c>
    </row>
    <row r="63" spans="1:7" x14ac:dyDescent="0.35">
      <c r="A63" s="13">
        <v>44063</v>
      </c>
      <c r="B63">
        <v>848.21</v>
      </c>
      <c r="C63">
        <v>851.21</v>
      </c>
      <c r="D63">
        <v>856.99</v>
      </c>
      <c r="E63">
        <v>847.44</v>
      </c>
      <c r="F63" s="23" t="s">
        <v>473</v>
      </c>
      <c r="G63" s="22">
        <f t="shared" si="0"/>
        <v>0.99646938000456775</v>
      </c>
    </row>
    <row r="64" spans="1:7" x14ac:dyDescent="0.35">
      <c r="A64" s="13">
        <v>44064</v>
      </c>
      <c r="B64">
        <v>854.78</v>
      </c>
      <c r="C64">
        <v>849.99</v>
      </c>
      <c r="D64">
        <v>856.45</v>
      </c>
      <c r="E64">
        <v>849.69</v>
      </c>
      <c r="F64" s="23" t="s">
        <v>472</v>
      </c>
      <c r="G64" s="22">
        <f t="shared" si="0"/>
        <v>1.007715879242117</v>
      </c>
    </row>
    <row r="65" spans="1:7" x14ac:dyDescent="0.35">
      <c r="A65" s="13">
        <v>44067</v>
      </c>
      <c r="B65">
        <v>868.68</v>
      </c>
      <c r="C65">
        <v>860.35</v>
      </c>
      <c r="D65">
        <v>868.68</v>
      </c>
      <c r="E65">
        <v>860.35</v>
      </c>
      <c r="F65" s="23" t="s">
        <v>471</v>
      </c>
      <c r="G65" s="22">
        <f t="shared" si="0"/>
        <v>1.0161306922076936</v>
      </c>
    </row>
    <row r="66" spans="1:7" x14ac:dyDescent="0.35">
      <c r="A66" s="13">
        <v>44068</v>
      </c>
      <c r="B66">
        <v>874.12</v>
      </c>
      <c r="C66">
        <v>870.92</v>
      </c>
      <c r="D66">
        <v>877.57</v>
      </c>
      <c r="E66">
        <v>870.92</v>
      </c>
      <c r="F66" s="23" t="s">
        <v>470</v>
      </c>
      <c r="G66" s="22">
        <f t="shared" si="0"/>
        <v>1.0062428479089012</v>
      </c>
    </row>
    <row r="67" spans="1:7" x14ac:dyDescent="0.35">
      <c r="A67" s="13">
        <v>44069</v>
      </c>
      <c r="B67">
        <v>873.47</v>
      </c>
      <c r="C67">
        <v>873.62</v>
      </c>
      <c r="D67">
        <v>876.97</v>
      </c>
      <c r="E67">
        <v>871.78</v>
      </c>
      <c r="F67" s="23" t="s">
        <v>469</v>
      </c>
      <c r="G67" s="22">
        <f t="shared" si="0"/>
        <v>0.99925611839164374</v>
      </c>
    </row>
    <row r="68" spans="1:7" x14ac:dyDescent="0.35">
      <c r="A68" s="13">
        <v>44070</v>
      </c>
      <c r="B68">
        <v>874.71</v>
      </c>
      <c r="C68">
        <v>872.38</v>
      </c>
      <c r="D68">
        <v>875.71</v>
      </c>
      <c r="E68">
        <v>871.93</v>
      </c>
      <c r="F68" s="23" t="s">
        <v>468</v>
      </c>
      <c r="G68" s="22">
        <f t="shared" ref="G68:G131" si="1">LN(B68/B67)+1</f>
        <v>1.0014186184580034</v>
      </c>
    </row>
    <row r="69" spans="1:7" x14ac:dyDescent="0.35">
      <c r="A69" s="13">
        <v>44071</v>
      </c>
      <c r="B69">
        <v>878.98</v>
      </c>
      <c r="C69">
        <v>878.79</v>
      </c>
      <c r="D69">
        <v>885.86</v>
      </c>
      <c r="E69">
        <v>877.7</v>
      </c>
      <c r="F69" s="23" t="s">
        <v>467</v>
      </c>
      <c r="G69" s="22">
        <f t="shared" si="1"/>
        <v>1.0048697414461669</v>
      </c>
    </row>
    <row r="70" spans="1:7" x14ac:dyDescent="0.35">
      <c r="A70" s="13">
        <v>44074</v>
      </c>
      <c r="B70">
        <v>881.65</v>
      </c>
      <c r="C70">
        <v>882.13</v>
      </c>
      <c r="D70">
        <v>888.44</v>
      </c>
      <c r="E70">
        <v>879.26</v>
      </c>
      <c r="F70" s="23" t="s">
        <v>466</v>
      </c>
      <c r="G70" s="22">
        <f t="shared" si="1"/>
        <v>1.0030330075561669</v>
      </c>
    </row>
    <row r="71" spans="1:7" x14ac:dyDescent="0.35">
      <c r="A71" s="13">
        <v>44075</v>
      </c>
      <c r="B71">
        <v>891.73</v>
      </c>
      <c r="C71">
        <v>882.4</v>
      </c>
      <c r="D71">
        <v>892.51</v>
      </c>
      <c r="E71">
        <v>880.79</v>
      </c>
      <c r="F71" s="23" t="s">
        <v>465</v>
      </c>
      <c r="G71" s="22">
        <f t="shared" si="1"/>
        <v>1.0113682443230765</v>
      </c>
    </row>
    <row r="72" spans="1:7" x14ac:dyDescent="0.35">
      <c r="A72" s="13">
        <v>44077</v>
      </c>
      <c r="B72">
        <v>903.97</v>
      </c>
      <c r="C72">
        <v>898.25</v>
      </c>
      <c r="D72">
        <v>904.32</v>
      </c>
      <c r="E72">
        <v>896.26</v>
      </c>
      <c r="F72" s="23" t="s">
        <v>464</v>
      </c>
      <c r="G72" s="22">
        <f t="shared" si="1"/>
        <v>1.0136327778237975</v>
      </c>
    </row>
    <row r="73" spans="1:7" x14ac:dyDescent="0.35">
      <c r="A73" s="13">
        <v>44078</v>
      </c>
      <c r="B73">
        <v>901.54</v>
      </c>
      <c r="C73">
        <v>896.02</v>
      </c>
      <c r="D73">
        <v>903.11</v>
      </c>
      <c r="E73">
        <v>893.86</v>
      </c>
      <c r="F73" s="23" t="s">
        <v>463</v>
      </c>
      <c r="G73" s="22">
        <f t="shared" si="1"/>
        <v>0.9973082381518461</v>
      </c>
    </row>
    <row r="74" spans="1:7" x14ac:dyDescent="0.35">
      <c r="A74" s="13">
        <v>44081</v>
      </c>
      <c r="B74">
        <v>888.25</v>
      </c>
      <c r="C74">
        <v>903.85</v>
      </c>
      <c r="D74">
        <v>905.8</v>
      </c>
      <c r="E74">
        <v>888.25</v>
      </c>
      <c r="F74" s="23" t="s">
        <v>462</v>
      </c>
      <c r="G74" s="22">
        <f t="shared" si="1"/>
        <v>0.98514882274848403</v>
      </c>
    </row>
    <row r="75" spans="1:7" x14ac:dyDescent="0.35">
      <c r="A75" s="13">
        <v>44082</v>
      </c>
      <c r="B75">
        <v>890.14</v>
      </c>
      <c r="C75">
        <v>891.61</v>
      </c>
      <c r="D75">
        <v>894.58</v>
      </c>
      <c r="E75">
        <v>884.88</v>
      </c>
      <c r="F75" s="23" t="s">
        <v>461</v>
      </c>
      <c r="G75" s="22">
        <f t="shared" si="1"/>
        <v>1.0021255188249576</v>
      </c>
    </row>
    <row r="76" spans="1:7" x14ac:dyDescent="0.35">
      <c r="A76" s="13">
        <v>44083</v>
      </c>
      <c r="B76">
        <v>889.32</v>
      </c>
      <c r="C76">
        <v>883.68</v>
      </c>
      <c r="D76">
        <v>892.4</v>
      </c>
      <c r="E76">
        <v>881.57</v>
      </c>
      <c r="F76" s="23" t="s">
        <v>460</v>
      </c>
      <c r="G76" s="22">
        <f t="shared" si="1"/>
        <v>0.9990783720251738</v>
      </c>
    </row>
    <row r="77" spans="1:7" x14ac:dyDescent="0.35">
      <c r="A77" s="13">
        <v>44084</v>
      </c>
      <c r="B77">
        <v>888.82</v>
      </c>
      <c r="C77">
        <v>895.29</v>
      </c>
      <c r="D77">
        <v>896.78</v>
      </c>
      <c r="E77">
        <v>888.82</v>
      </c>
      <c r="F77" s="23" t="s">
        <v>459</v>
      </c>
      <c r="G77" s="22">
        <f t="shared" si="1"/>
        <v>0.99943761457120561</v>
      </c>
    </row>
    <row r="78" spans="1:7" x14ac:dyDescent="0.35">
      <c r="A78" s="13">
        <v>44085</v>
      </c>
      <c r="B78">
        <v>888.97</v>
      </c>
      <c r="C78">
        <v>888.82</v>
      </c>
      <c r="D78">
        <v>890.98</v>
      </c>
      <c r="E78">
        <v>884.67</v>
      </c>
      <c r="F78" s="23" t="s">
        <v>458</v>
      </c>
      <c r="G78" s="22">
        <f t="shared" si="1"/>
        <v>1.0001687488402522</v>
      </c>
    </row>
    <row r="79" spans="1:7" x14ac:dyDescent="0.35">
      <c r="A79" s="13">
        <v>44088</v>
      </c>
      <c r="B79">
        <v>894.57</v>
      </c>
      <c r="C79">
        <v>891.89</v>
      </c>
      <c r="D79">
        <v>895.31</v>
      </c>
      <c r="E79">
        <v>891.89</v>
      </c>
      <c r="F79" s="23" t="s">
        <v>457</v>
      </c>
      <c r="G79" s="22">
        <f t="shared" si="1"/>
        <v>1.0062796667331502</v>
      </c>
    </row>
    <row r="80" spans="1:7" x14ac:dyDescent="0.35">
      <c r="A80" s="13">
        <v>44089</v>
      </c>
      <c r="B80">
        <v>896.26</v>
      </c>
      <c r="C80">
        <v>896.61</v>
      </c>
      <c r="D80">
        <v>898.74</v>
      </c>
      <c r="E80">
        <v>894.66</v>
      </c>
      <c r="F80" s="23" t="s">
        <v>456</v>
      </c>
      <c r="G80" s="22">
        <f t="shared" si="1"/>
        <v>1.0018873935568247</v>
      </c>
    </row>
    <row r="81" spans="1:7" x14ac:dyDescent="0.35">
      <c r="A81" s="13">
        <v>44090</v>
      </c>
      <c r="B81">
        <v>897.47</v>
      </c>
      <c r="C81">
        <v>897.43</v>
      </c>
      <c r="D81">
        <v>897.58</v>
      </c>
      <c r="E81">
        <v>894.63</v>
      </c>
      <c r="F81" s="23" t="s">
        <v>455</v>
      </c>
      <c r="G81" s="22">
        <f t="shared" si="1"/>
        <v>1.0013491441672222</v>
      </c>
    </row>
    <row r="82" spans="1:7" x14ac:dyDescent="0.35">
      <c r="A82" s="13">
        <v>44091</v>
      </c>
      <c r="B82">
        <v>894.04</v>
      </c>
      <c r="C82">
        <v>897.47</v>
      </c>
      <c r="D82">
        <v>899.41</v>
      </c>
      <c r="E82">
        <v>890.93</v>
      </c>
      <c r="F82" s="23" t="s">
        <v>454</v>
      </c>
      <c r="G82" s="22">
        <f t="shared" si="1"/>
        <v>0.99617082328197193</v>
      </c>
    </row>
    <row r="83" spans="1:7" x14ac:dyDescent="0.35">
      <c r="A83" s="13">
        <v>44092</v>
      </c>
      <c r="B83">
        <v>900.95</v>
      </c>
      <c r="C83">
        <v>896.08</v>
      </c>
      <c r="D83">
        <v>902.11</v>
      </c>
      <c r="E83">
        <v>895.82</v>
      </c>
      <c r="F83" s="23" t="s">
        <v>453</v>
      </c>
      <c r="G83" s="22">
        <f t="shared" si="1"/>
        <v>1.0076992452709288</v>
      </c>
    </row>
    <row r="84" spans="1:7" x14ac:dyDescent="0.35">
      <c r="A84" s="13">
        <v>44095</v>
      </c>
      <c r="B84">
        <v>907.94</v>
      </c>
      <c r="C84">
        <v>904.5</v>
      </c>
      <c r="D84">
        <v>909.78</v>
      </c>
      <c r="E84">
        <v>904.5</v>
      </c>
      <c r="F84" s="23" t="s">
        <v>452</v>
      </c>
      <c r="G84" s="22">
        <f t="shared" si="1"/>
        <v>1.0077285349499832</v>
      </c>
    </row>
    <row r="85" spans="1:7" x14ac:dyDescent="0.35">
      <c r="A85" s="13">
        <v>44096</v>
      </c>
      <c r="B85">
        <v>906.19</v>
      </c>
      <c r="C85">
        <v>905.9</v>
      </c>
      <c r="D85">
        <v>909.69</v>
      </c>
      <c r="E85">
        <v>902.47</v>
      </c>
      <c r="F85" s="23" t="s">
        <v>451</v>
      </c>
      <c r="G85" s="22">
        <f t="shared" si="1"/>
        <v>0.99807069995775322</v>
      </c>
    </row>
    <row r="86" spans="1:7" x14ac:dyDescent="0.35">
      <c r="A86" s="13">
        <v>44097</v>
      </c>
      <c r="B86">
        <v>912.5</v>
      </c>
      <c r="C86">
        <v>908.97</v>
      </c>
      <c r="D86">
        <v>913.52</v>
      </c>
      <c r="E86">
        <v>908.97</v>
      </c>
      <c r="F86" s="23" t="s">
        <v>450</v>
      </c>
      <c r="G86" s="22">
        <f t="shared" si="1"/>
        <v>1.0069390883760871</v>
      </c>
    </row>
    <row r="87" spans="1:7" x14ac:dyDescent="0.35">
      <c r="A87" s="13">
        <v>44098</v>
      </c>
      <c r="B87">
        <v>908.58</v>
      </c>
      <c r="C87">
        <v>910.53</v>
      </c>
      <c r="D87">
        <v>914.51</v>
      </c>
      <c r="E87">
        <v>907.32</v>
      </c>
      <c r="F87" s="23" t="s">
        <v>449</v>
      </c>
      <c r="G87" s="22">
        <f t="shared" si="1"/>
        <v>0.99569485573997252</v>
      </c>
    </row>
    <row r="88" spans="1:7" x14ac:dyDescent="0.35">
      <c r="A88" s="13">
        <v>44099</v>
      </c>
      <c r="B88">
        <v>908.27</v>
      </c>
      <c r="C88">
        <v>910.78</v>
      </c>
      <c r="D88">
        <v>911.3</v>
      </c>
      <c r="E88">
        <v>905.56</v>
      </c>
      <c r="F88" s="23" t="s">
        <v>448</v>
      </c>
      <c r="G88" s="22">
        <f t="shared" si="1"/>
        <v>0.99965875003108851</v>
      </c>
    </row>
    <row r="89" spans="1:7" x14ac:dyDescent="0.35">
      <c r="A89" s="13">
        <v>44102</v>
      </c>
      <c r="B89">
        <v>912.5</v>
      </c>
      <c r="C89">
        <v>911.2</v>
      </c>
      <c r="D89">
        <v>913.6</v>
      </c>
      <c r="E89">
        <v>910.04</v>
      </c>
      <c r="F89" s="23" t="s">
        <v>447</v>
      </c>
      <c r="G89" s="22">
        <f t="shared" si="1"/>
        <v>1.0046463942289388</v>
      </c>
    </row>
    <row r="90" spans="1:7" x14ac:dyDescent="0.35">
      <c r="A90" s="13">
        <v>44103</v>
      </c>
      <c r="B90">
        <v>903.98</v>
      </c>
      <c r="C90">
        <v>916.63</v>
      </c>
      <c r="D90">
        <v>917.49</v>
      </c>
      <c r="E90">
        <v>903.98</v>
      </c>
      <c r="F90" s="23" t="s">
        <v>446</v>
      </c>
      <c r="G90" s="22">
        <f t="shared" si="1"/>
        <v>0.9906191507969877</v>
      </c>
    </row>
    <row r="91" spans="1:7" x14ac:dyDescent="0.35">
      <c r="A91" s="13">
        <v>44104</v>
      </c>
      <c r="B91">
        <v>905.21</v>
      </c>
      <c r="C91">
        <v>904.34</v>
      </c>
      <c r="D91">
        <v>907</v>
      </c>
      <c r="E91">
        <v>900.44</v>
      </c>
      <c r="F91" s="23" t="s">
        <v>445</v>
      </c>
      <c r="G91" s="22">
        <f t="shared" si="1"/>
        <v>1.0013597247270958</v>
      </c>
    </row>
    <row r="92" spans="1:7" x14ac:dyDescent="0.35">
      <c r="A92" s="13">
        <v>44105</v>
      </c>
      <c r="B92">
        <v>914.09</v>
      </c>
      <c r="C92">
        <v>910.13</v>
      </c>
      <c r="D92">
        <v>914.09</v>
      </c>
      <c r="E92">
        <v>909.13</v>
      </c>
      <c r="F92" s="23" t="s">
        <v>444</v>
      </c>
      <c r="G92" s="22">
        <f t="shared" si="1"/>
        <v>1.0097620738970727</v>
      </c>
    </row>
    <row r="93" spans="1:7" x14ac:dyDescent="0.35">
      <c r="A93" s="13">
        <v>44106</v>
      </c>
      <c r="B93">
        <v>909.91</v>
      </c>
      <c r="C93">
        <v>914.09</v>
      </c>
      <c r="D93">
        <v>916.67</v>
      </c>
      <c r="E93">
        <v>897.72</v>
      </c>
      <c r="F93" s="23" t="s">
        <v>443</v>
      </c>
      <c r="G93" s="22">
        <f t="shared" si="1"/>
        <v>0.99541665864315554</v>
      </c>
    </row>
    <row r="94" spans="1:7" x14ac:dyDescent="0.35">
      <c r="A94" s="13">
        <v>44109</v>
      </c>
      <c r="B94">
        <v>914.68</v>
      </c>
      <c r="C94">
        <v>913.77</v>
      </c>
      <c r="D94">
        <v>915.55</v>
      </c>
      <c r="E94">
        <v>910.96</v>
      </c>
      <c r="F94" s="23" t="s">
        <v>442</v>
      </c>
      <c r="G94" s="22">
        <f t="shared" si="1"/>
        <v>1.0052285838099357</v>
      </c>
    </row>
    <row r="95" spans="1:7" x14ac:dyDescent="0.35">
      <c r="A95" s="13">
        <v>44110</v>
      </c>
      <c r="B95">
        <v>915.67</v>
      </c>
      <c r="C95">
        <v>918.11</v>
      </c>
      <c r="D95">
        <v>918.93</v>
      </c>
      <c r="E95">
        <v>912.77</v>
      </c>
      <c r="F95" s="23" t="s">
        <v>441</v>
      </c>
      <c r="G95" s="22">
        <f t="shared" si="1"/>
        <v>1.001081760424555</v>
      </c>
    </row>
    <row r="96" spans="1:7" x14ac:dyDescent="0.35">
      <c r="A96" s="13">
        <v>44111</v>
      </c>
      <c r="B96">
        <v>919.72</v>
      </c>
      <c r="C96">
        <v>913.62</v>
      </c>
      <c r="D96">
        <v>923.57</v>
      </c>
      <c r="E96">
        <v>912.69</v>
      </c>
      <c r="F96" s="23" t="s">
        <v>440</v>
      </c>
      <c r="G96" s="22">
        <f t="shared" si="1"/>
        <v>1.0044132381383513</v>
      </c>
    </row>
    <row r="97" spans="1:7" x14ac:dyDescent="0.35">
      <c r="A97" s="13">
        <v>44112</v>
      </c>
      <c r="B97">
        <v>918.84</v>
      </c>
      <c r="C97">
        <v>922.08</v>
      </c>
      <c r="D97">
        <v>922.08</v>
      </c>
      <c r="E97">
        <v>913.89</v>
      </c>
      <c r="F97" s="23" t="s">
        <v>439</v>
      </c>
      <c r="G97" s="22">
        <f t="shared" si="1"/>
        <v>0.99904272901923219</v>
      </c>
    </row>
    <row r="98" spans="1:7" x14ac:dyDescent="0.35">
      <c r="A98" s="13">
        <v>44113</v>
      </c>
      <c r="B98">
        <v>924</v>
      </c>
      <c r="C98">
        <v>919.48</v>
      </c>
      <c r="D98">
        <v>924</v>
      </c>
      <c r="E98">
        <v>917.7</v>
      </c>
      <c r="F98" s="23" t="s">
        <v>438</v>
      </c>
      <c r="G98" s="22">
        <f t="shared" si="1"/>
        <v>1.0056000667286518</v>
      </c>
    </row>
    <row r="99" spans="1:7" x14ac:dyDescent="0.35">
      <c r="A99" s="13">
        <v>44116</v>
      </c>
      <c r="B99">
        <v>925.83</v>
      </c>
      <c r="C99">
        <v>930.78</v>
      </c>
      <c r="D99">
        <v>933.13</v>
      </c>
      <c r="E99">
        <v>923.28</v>
      </c>
      <c r="F99" s="23" t="s">
        <v>437</v>
      </c>
      <c r="G99" s="22">
        <f t="shared" si="1"/>
        <v>1.0019785608374741</v>
      </c>
    </row>
    <row r="100" spans="1:7" x14ac:dyDescent="0.35">
      <c r="A100" s="13">
        <v>44117</v>
      </c>
      <c r="B100">
        <v>929.86</v>
      </c>
      <c r="C100">
        <v>926.76</v>
      </c>
      <c r="D100">
        <v>930.96</v>
      </c>
      <c r="E100">
        <v>923.78</v>
      </c>
      <c r="F100" s="23" t="s">
        <v>436</v>
      </c>
      <c r="G100" s="22">
        <f t="shared" si="1"/>
        <v>1.0043434047018081</v>
      </c>
    </row>
    <row r="101" spans="1:7" x14ac:dyDescent="0.35">
      <c r="A101" s="13">
        <v>44118</v>
      </c>
      <c r="B101">
        <v>940.18</v>
      </c>
      <c r="C101">
        <v>931.89</v>
      </c>
      <c r="D101">
        <v>940.18</v>
      </c>
      <c r="E101">
        <v>931.89</v>
      </c>
      <c r="F101" s="23" t="s">
        <v>435</v>
      </c>
      <c r="G101" s="22">
        <f t="shared" si="1"/>
        <v>1.011037309113038</v>
      </c>
    </row>
    <row r="102" spans="1:7" x14ac:dyDescent="0.35">
      <c r="A102" s="13">
        <v>44119</v>
      </c>
      <c r="B102">
        <v>942.76</v>
      </c>
      <c r="C102">
        <v>945.28</v>
      </c>
      <c r="D102">
        <v>945.93</v>
      </c>
      <c r="E102">
        <v>938.7</v>
      </c>
      <c r="F102" s="23" t="s">
        <v>434</v>
      </c>
      <c r="G102" s="22">
        <f t="shared" si="1"/>
        <v>1.0027403970541831</v>
      </c>
    </row>
    <row r="103" spans="1:7" x14ac:dyDescent="0.35">
      <c r="A103" s="13">
        <v>44120</v>
      </c>
      <c r="B103">
        <v>943.3</v>
      </c>
      <c r="C103">
        <v>944.03</v>
      </c>
      <c r="D103">
        <v>946.23</v>
      </c>
      <c r="E103">
        <v>935.98</v>
      </c>
      <c r="F103" s="23" t="s">
        <v>433</v>
      </c>
      <c r="G103" s="22">
        <f t="shared" si="1"/>
        <v>1.0005726223076203</v>
      </c>
    </row>
    <row r="104" spans="1:7" x14ac:dyDescent="0.35">
      <c r="A104" s="13">
        <v>44123</v>
      </c>
      <c r="B104">
        <v>943.69</v>
      </c>
      <c r="C104">
        <v>945.01</v>
      </c>
      <c r="D104">
        <v>946.29</v>
      </c>
      <c r="E104">
        <v>941.92</v>
      </c>
      <c r="F104" s="23" t="s">
        <v>432</v>
      </c>
      <c r="G104" s="22">
        <f t="shared" si="1"/>
        <v>1.0004133567274369</v>
      </c>
    </row>
    <row r="105" spans="1:7" x14ac:dyDescent="0.35">
      <c r="A105" s="13">
        <v>44124</v>
      </c>
      <c r="B105">
        <v>944.42</v>
      </c>
      <c r="C105">
        <v>941</v>
      </c>
      <c r="D105">
        <v>944.54</v>
      </c>
      <c r="E105">
        <v>937.32</v>
      </c>
      <c r="F105" s="23" t="s">
        <v>431</v>
      </c>
      <c r="G105" s="22">
        <f t="shared" si="1"/>
        <v>1.0007732600710488</v>
      </c>
    </row>
    <row r="106" spans="1:7" x14ac:dyDescent="0.35">
      <c r="A106" s="13">
        <v>44125</v>
      </c>
      <c r="B106">
        <v>939.03</v>
      </c>
      <c r="C106">
        <v>947.16</v>
      </c>
      <c r="D106">
        <v>948.2</v>
      </c>
      <c r="E106">
        <v>939</v>
      </c>
      <c r="F106" s="23" t="s">
        <v>430</v>
      </c>
      <c r="G106" s="22">
        <f t="shared" si="1"/>
        <v>0.99427644512540403</v>
      </c>
    </row>
    <row r="107" spans="1:7" x14ac:dyDescent="0.35">
      <c r="A107" s="13">
        <v>44126</v>
      </c>
      <c r="B107">
        <v>949.9</v>
      </c>
      <c r="C107">
        <v>938.06</v>
      </c>
      <c r="D107">
        <v>949.9</v>
      </c>
      <c r="E107">
        <v>933.78</v>
      </c>
      <c r="F107" s="23" t="s">
        <v>429</v>
      </c>
      <c r="G107" s="22">
        <f t="shared" si="1"/>
        <v>1.0115092883164394</v>
      </c>
    </row>
    <row r="108" spans="1:7" x14ac:dyDescent="0.35">
      <c r="A108" s="13">
        <v>44127</v>
      </c>
      <c r="B108">
        <v>961.26</v>
      </c>
      <c r="C108">
        <v>953.45</v>
      </c>
      <c r="D108">
        <v>961.26</v>
      </c>
      <c r="E108">
        <v>953.14</v>
      </c>
      <c r="F108" s="23" t="s">
        <v>428</v>
      </c>
      <c r="G108" s="22">
        <f t="shared" si="1"/>
        <v>1.0118882079905411</v>
      </c>
    </row>
    <row r="109" spans="1:7" x14ac:dyDescent="0.35">
      <c r="A109" s="13">
        <v>44130</v>
      </c>
      <c r="B109">
        <v>950.8</v>
      </c>
      <c r="C109">
        <v>967.52</v>
      </c>
      <c r="D109">
        <v>970.15</v>
      </c>
      <c r="E109">
        <v>950.8</v>
      </c>
      <c r="F109" s="23" t="s">
        <v>427</v>
      </c>
      <c r="G109" s="22">
        <f t="shared" si="1"/>
        <v>0.98905881159936082</v>
      </c>
    </row>
    <row r="110" spans="1:7" x14ac:dyDescent="0.35">
      <c r="A110" s="13">
        <v>44131</v>
      </c>
      <c r="B110">
        <v>946.47</v>
      </c>
      <c r="C110">
        <v>950.8</v>
      </c>
      <c r="D110">
        <v>954.72</v>
      </c>
      <c r="E110">
        <v>946.28</v>
      </c>
      <c r="F110" s="23" t="s">
        <v>426</v>
      </c>
      <c r="G110" s="22">
        <f t="shared" si="1"/>
        <v>0.99543553893994119</v>
      </c>
    </row>
    <row r="111" spans="1:7" x14ac:dyDescent="0.35">
      <c r="A111" s="13">
        <v>44132</v>
      </c>
      <c r="B111">
        <v>921.05</v>
      </c>
      <c r="C111">
        <v>942.82</v>
      </c>
      <c r="D111">
        <v>946.91</v>
      </c>
      <c r="E111">
        <v>921.05</v>
      </c>
      <c r="F111" s="23" t="s">
        <v>425</v>
      </c>
      <c r="G111" s="22">
        <f t="shared" si="1"/>
        <v>0.97277504917224622</v>
      </c>
    </row>
    <row r="112" spans="1:7" x14ac:dyDescent="0.35">
      <c r="A112" s="13">
        <v>44133</v>
      </c>
      <c r="B112">
        <v>919.08</v>
      </c>
      <c r="C112">
        <v>916.49</v>
      </c>
      <c r="D112">
        <v>925.84</v>
      </c>
      <c r="E112">
        <v>914.33</v>
      </c>
      <c r="F112" s="23" t="s">
        <v>424</v>
      </c>
      <c r="G112" s="22">
        <f t="shared" si="1"/>
        <v>0.9978588461112764</v>
      </c>
    </row>
    <row r="113" spans="1:7" x14ac:dyDescent="0.35">
      <c r="A113" s="13">
        <v>44134</v>
      </c>
      <c r="B113">
        <v>925.47</v>
      </c>
      <c r="C113">
        <v>925.41</v>
      </c>
      <c r="D113">
        <v>926.32</v>
      </c>
      <c r="E113">
        <v>911.2</v>
      </c>
      <c r="F113" s="23" t="s">
        <v>423</v>
      </c>
      <c r="G113" s="22">
        <f t="shared" si="1"/>
        <v>1.006928546867816</v>
      </c>
    </row>
    <row r="114" spans="1:7" x14ac:dyDescent="0.35">
      <c r="A114" s="13">
        <v>44137</v>
      </c>
      <c r="B114">
        <v>933.68</v>
      </c>
      <c r="C114">
        <v>926.09</v>
      </c>
      <c r="D114">
        <v>933.68</v>
      </c>
      <c r="E114">
        <v>924.14</v>
      </c>
      <c r="F114" s="23" t="s">
        <v>422</v>
      </c>
      <c r="G114" s="22">
        <f t="shared" si="1"/>
        <v>1.0088320505267796</v>
      </c>
    </row>
    <row r="115" spans="1:7" x14ac:dyDescent="0.35">
      <c r="A115" s="13">
        <v>44138</v>
      </c>
      <c r="B115">
        <v>935.41</v>
      </c>
      <c r="C115">
        <v>936.73</v>
      </c>
      <c r="D115">
        <v>937.57</v>
      </c>
      <c r="E115">
        <v>932.18</v>
      </c>
      <c r="F115" s="23" t="s">
        <v>421</v>
      </c>
      <c r="G115" s="22">
        <f t="shared" si="1"/>
        <v>1.0018511687441847</v>
      </c>
    </row>
    <row r="116" spans="1:7" x14ac:dyDescent="0.35">
      <c r="A116" s="13">
        <v>44139</v>
      </c>
      <c r="B116">
        <v>939.76</v>
      </c>
      <c r="C116">
        <v>935.41</v>
      </c>
      <c r="D116">
        <v>943.56</v>
      </c>
      <c r="E116">
        <v>933.86</v>
      </c>
      <c r="F116" s="23" t="s">
        <v>420</v>
      </c>
      <c r="G116" s="22">
        <f t="shared" si="1"/>
        <v>1.0046395876673477</v>
      </c>
    </row>
    <row r="117" spans="1:7" x14ac:dyDescent="0.35">
      <c r="A117" s="13">
        <v>44140</v>
      </c>
      <c r="B117">
        <v>937.75</v>
      </c>
      <c r="C117">
        <v>940.32</v>
      </c>
      <c r="D117">
        <v>945.51</v>
      </c>
      <c r="E117">
        <v>937.75</v>
      </c>
      <c r="F117" s="23" t="s">
        <v>419</v>
      </c>
      <c r="G117" s="22">
        <f t="shared" si="1"/>
        <v>0.99785886544636615</v>
      </c>
    </row>
    <row r="118" spans="1:7" x14ac:dyDescent="0.35">
      <c r="A118" s="13">
        <v>44141</v>
      </c>
      <c r="B118">
        <v>938.29</v>
      </c>
      <c r="C118">
        <v>939.73</v>
      </c>
      <c r="D118">
        <v>941.2</v>
      </c>
      <c r="E118">
        <v>934.63</v>
      </c>
      <c r="F118" s="23" t="s">
        <v>418</v>
      </c>
      <c r="G118" s="22">
        <f t="shared" si="1"/>
        <v>1.0005756807050099</v>
      </c>
    </row>
    <row r="119" spans="1:7" x14ac:dyDescent="0.35">
      <c r="A119" s="13">
        <v>44144</v>
      </c>
      <c r="B119">
        <v>951.99</v>
      </c>
      <c r="C119">
        <v>942.15</v>
      </c>
      <c r="D119">
        <v>951.99</v>
      </c>
      <c r="E119">
        <v>942.15</v>
      </c>
      <c r="F119" s="23" t="s">
        <v>417</v>
      </c>
      <c r="G119" s="22">
        <f t="shared" si="1"/>
        <v>1.0144954608675087</v>
      </c>
    </row>
    <row r="120" spans="1:7" x14ac:dyDescent="0.35">
      <c r="A120" s="13">
        <v>44145</v>
      </c>
      <c r="B120">
        <v>951.9</v>
      </c>
      <c r="C120">
        <v>962.68</v>
      </c>
      <c r="D120">
        <v>963.47</v>
      </c>
      <c r="E120">
        <v>951.9</v>
      </c>
      <c r="F120" s="23" t="s">
        <v>416</v>
      </c>
      <c r="G120" s="22">
        <f t="shared" si="1"/>
        <v>0.99990545672274445</v>
      </c>
    </row>
    <row r="121" spans="1:7" x14ac:dyDescent="0.35">
      <c r="A121" s="13">
        <v>44146</v>
      </c>
      <c r="B121">
        <v>952.22</v>
      </c>
      <c r="C121">
        <v>954.46</v>
      </c>
      <c r="D121">
        <v>956.65</v>
      </c>
      <c r="E121">
        <v>947.61</v>
      </c>
      <c r="F121" s="23" t="s">
        <v>415</v>
      </c>
      <c r="G121" s="22">
        <f t="shared" si="1"/>
        <v>1.0003361132733364</v>
      </c>
    </row>
    <row r="122" spans="1:7" x14ac:dyDescent="0.35">
      <c r="A122" s="13">
        <v>44147</v>
      </c>
      <c r="B122">
        <v>959.28</v>
      </c>
      <c r="C122">
        <v>953.97</v>
      </c>
      <c r="D122">
        <v>959.28</v>
      </c>
      <c r="E122">
        <v>953.62</v>
      </c>
      <c r="F122" s="23" t="s">
        <v>414</v>
      </c>
      <c r="G122" s="22">
        <f t="shared" si="1"/>
        <v>1.0073869025405817</v>
      </c>
    </row>
    <row r="123" spans="1:7" x14ac:dyDescent="0.35">
      <c r="A123" s="13">
        <v>44148</v>
      </c>
      <c r="B123">
        <v>966.29</v>
      </c>
      <c r="C123">
        <v>959.56</v>
      </c>
      <c r="D123">
        <v>966.29</v>
      </c>
      <c r="E123">
        <v>959.13</v>
      </c>
      <c r="F123" s="23" t="s">
        <v>413</v>
      </c>
      <c r="G123" s="22">
        <f t="shared" si="1"/>
        <v>1.007280993127561</v>
      </c>
    </row>
    <row r="124" spans="1:7" x14ac:dyDescent="0.35">
      <c r="A124" s="13">
        <v>44151</v>
      </c>
      <c r="B124">
        <v>950.79</v>
      </c>
      <c r="C124">
        <v>970.11</v>
      </c>
      <c r="D124">
        <v>972.98</v>
      </c>
      <c r="E124">
        <v>950.5</v>
      </c>
      <c r="F124" s="23" t="s">
        <v>412</v>
      </c>
      <c r="G124" s="22">
        <f t="shared" si="1"/>
        <v>0.98382922177300924</v>
      </c>
    </row>
    <row r="125" spans="1:7" x14ac:dyDescent="0.35">
      <c r="A125" s="13">
        <v>44152</v>
      </c>
      <c r="B125">
        <v>968.9</v>
      </c>
      <c r="C125">
        <v>955.52</v>
      </c>
      <c r="D125">
        <v>968.9</v>
      </c>
      <c r="E125">
        <v>953.22</v>
      </c>
      <c r="F125" s="23" t="s">
        <v>411</v>
      </c>
      <c r="G125" s="22">
        <f t="shared" si="1"/>
        <v>1.0188681894192104</v>
      </c>
    </row>
    <row r="126" spans="1:7" x14ac:dyDescent="0.35">
      <c r="A126" s="13">
        <v>44153</v>
      </c>
      <c r="B126">
        <v>973.53</v>
      </c>
      <c r="C126">
        <v>969.48</v>
      </c>
      <c r="D126">
        <v>974.3</v>
      </c>
      <c r="E126">
        <v>966.32</v>
      </c>
      <c r="F126" s="23" t="s">
        <v>410</v>
      </c>
      <c r="G126" s="22">
        <f t="shared" si="1"/>
        <v>1.0047672335874591</v>
      </c>
    </row>
    <row r="127" spans="1:7" x14ac:dyDescent="0.35">
      <c r="A127" s="13">
        <v>44154</v>
      </c>
      <c r="B127">
        <v>983.26</v>
      </c>
      <c r="C127">
        <v>975.32</v>
      </c>
      <c r="D127">
        <v>983.26</v>
      </c>
      <c r="E127">
        <v>974.33</v>
      </c>
      <c r="F127" s="23" t="s">
        <v>409</v>
      </c>
      <c r="G127" s="22">
        <f t="shared" si="1"/>
        <v>1.0099449406352035</v>
      </c>
    </row>
    <row r="128" spans="1:7" x14ac:dyDescent="0.35">
      <c r="A128" s="13">
        <v>44155</v>
      </c>
      <c r="B128">
        <v>990</v>
      </c>
      <c r="C128">
        <v>984.71</v>
      </c>
      <c r="D128">
        <v>990</v>
      </c>
      <c r="E128">
        <v>980.72</v>
      </c>
      <c r="F128" s="23" t="s">
        <v>408</v>
      </c>
      <c r="G128" s="22">
        <f t="shared" si="1"/>
        <v>1.0068313615150146</v>
      </c>
    </row>
    <row r="129" spans="1:7" x14ac:dyDescent="0.35">
      <c r="A129" s="13">
        <v>44158</v>
      </c>
      <c r="B129">
        <v>994.19</v>
      </c>
      <c r="C129">
        <v>991.87</v>
      </c>
      <c r="D129">
        <v>995.9</v>
      </c>
      <c r="E129">
        <v>985.38</v>
      </c>
      <c r="F129" s="23" t="s">
        <v>407</v>
      </c>
      <c r="G129" s="22">
        <f t="shared" si="1"/>
        <v>1.0042233921429888</v>
      </c>
    </row>
    <row r="130" spans="1:7" x14ac:dyDescent="0.35">
      <c r="A130" s="13">
        <v>44159</v>
      </c>
      <c r="B130">
        <v>995.76</v>
      </c>
      <c r="C130">
        <v>996.55</v>
      </c>
      <c r="D130">
        <v>997.99</v>
      </c>
      <c r="E130">
        <v>984.92</v>
      </c>
      <c r="F130" s="23" t="s">
        <v>406</v>
      </c>
      <c r="G130" s="22">
        <f t="shared" si="1"/>
        <v>1.0015779294210976</v>
      </c>
    </row>
    <row r="131" spans="1:7" x14ac:dyDescent="0.35">
      <c r="A131" s="13">
        <v>44160</v>
      </c>
      <c r="B131">
        <v>999.94</v>
      </c>
      <c r="C131" s="14">
        <v>1000.39</v>
      </c>
      <c r="D131" s="14">
        <v>1002.31</v>
      </c>
      <c r="E131">
        <v>996.8</v>
      </c>
      <c r="F131" s="23" t="s">
        <v>405</v>
      </c>
      <c r="G131" s="22">
        <f t="shared" si="1"/>
        <v>1.0041890124893429</v>
      </c>
    </row>
    <row r="132" spans="1:7" x14ac:dyDescent="0.35">
      <c r="A132" s="13">
        <v>44161</v>
      </c>
      <c r="B132" s="14">
        <v>1005.97</v>
      </c>
      <c r="C132">
        <v>999.24</v>
      </c>
      <c r="D132" s="14">
        <v>1005.97</v>
      </c>
      <c r="E132">
        <v>994.91</v>
      </c>
      <c r="F132" s="23" t="s">
        <v>404</v>
      </c>
      <c r="G132" s="22">
        <f t="shared" ref="G132:G195" si="2">LN(B132/B131)+1</f>
        <v>1.0060122519594037</v>
      </c>
    </row>
    <row r="133" spans="1:7" x14ac:dyDescent="0.35">
      <c r="A133" s="13">
        <v>44162</v>
      </c>
      <c r="B133" s="14">
        <v>1010.22</v>
      </c>
      <c r="C133" s="14">
        <v>1006.68</v>
      </c>
      <c r="D133" s="14">
        <v>1010.22</v>
      </c>
      <c r="E133" s="14">
        <v>1004</v>
      </c>
      <c r="F133" s="23" t="s">
        <v>403</v>
      </c>
      <c r="G133" s="22">
        <f t="shared" si="2"/>
        <v>1.0042158787562947</v>
      </c>
    </row>
    <row r="134" spans="1:7" x14ac:dyDescent="0.35">
      <c r="A134" s="13">
        <v>44165</v>
      </c>
      <c r="B134" s="14">
        <v>1003.08</v>
      </c>
      <c r="C134" s="14">
        <v>1011.82</v>
      </c>
      <c r="D134" s="14">
        <v>1012.5</v>
      </c>
      <c r="E134" s="14">
        <v>1002.61</v>
      </c>
      <c r="F134" s="23" t="s">
        <v>402</v>
      </c>
      <c r="G134" s="22">
        <f t="shared" si="2"/>
        <v>0.99290713760130178</v>
      </c>
    </row>
    <row r="135" spans="1:7" x14ac:dyDescent="0.35">
      <c r="A135" s="13">
        <v>44166</v>
      </c>
      <c r="B135" s="14">
        <v>1008.87</v>
      </c>
      <c r="C135">
        <v>988.71</v>
      </c>
      <c r="D135" s="14">
        <v>1008.87</v>
      </c>
      <c r="E135">
        <v>988.71</v>
      </c>
      <c r="F135" s="23" t="s">
        <v>401</v>
      </c>
      <c r="G135" s="22">
        <f t="shared" si="2"/>
        <v>1.0057556261178267</v>
      </c>
    </row>
    <row r="136" spans="1:7" x14ac:dyDescent="0.35">
      <c r="A136" s="13">
        <v>44167</v>
      </c>
      <c r="B136" s="14">
        <v>1014.32</v>
      </c>
      <c r="C136" s="14">
        <v>1008.77</v>
      </c>
      <c r="D136" s="14">
        <v>1015.86</v>
      </c>
      <c r="E136" s="14">
        <v>1007.91</v>
      </c>
      <c r="F136" s="23" t="s">
        <v>400</v>
      </c>
      <c r="G136" s="22">
        <f t="shared" si="2"/>
        <v>1.0053875446028009</v>
      </c>
    </row>
    <row r="137" spans="1:7" x14ac:dyDescent="0.35">
      <c r="A137" s="13">
        <v>44168</v>
      </c>
      <c r="B137" s="14">
        <v>1019.8</v>
      </c>
      <c r="C137" s="14">
        <v>1016.73</v>
      </c>
      <c r="D137" s="14">
        <v>1020.35</v>
      </c>
      <c r="E137" s="14">
        <v>1014.06</v>
      </c>
      <c r="F137" s="23" t="s">
        <v>399</v>
      </c>
      <c r="G137" s="22">
        <f t="shared" si="2"/>
        <v>1.0053880924013627</v>
      </c>
    </row>
    <row r="138" spans="1:7" x14ac:dyDescent="0.35">
      <c r="A138" s="13">
        <v>44169</v>
      </c>
      <c r="B138" s="14">
        <v>1021.49</v>
      </c>
      <c r="C138" s="14">
        <v>1019.8</v>
      </c>
      <c r="D138" s="14">
        <v>1025.17</v>
      </c>
      <c r="E138" s="14">
        <v>1018.67</v>
      </c>
      <c r="F138" s="23" t="s">
        <v>398</v>
      </c>
      <c r="G138" s="22">
        <f t="shared" si="2"/>
        <v>1.0016558160634956</v>
      </c>
    </row>
    <row r="139" spans="1:7" x14ac:dyDescent="0.35">
      <c r="A139" s="13">
        <v>44172</v>
      </c>
      <c r="B139" s="14">
        <v>1029.98</v>
      </c>
      <c r="C139" s="14">
        <v>1024.3399999999999</v>
      </c>
      <c r="D139" s="14">
        <v>1030.4100000000001</v>
      </c>
      <c r="E139" s="14">
        <v>1022.14</v>
      </c>
      <c r="F139" s="23" t="s">
        <v>397</v>
      </c>
      <c r="G139" s="22">
        <f t="shared" si="2"/>
        <v>1.0082770388748807</v>
      </c>
    </row>
    <row r="140" spans="1:7" x14ac:dyDescent="0.35">
      <c r="A140" s="13">
        <v>44173</v>
      </c>
      <c r="B140" s="14">
        <v>1029.26</v>
      </c>
      <c r="C140" s="14">
        <v>1029.98</v>
      </c>
      <c r="D140" s="14">
        <v>1032.58</v>
      </c>
      <c r="E140" s="14">
        <v>1025.6300000000001</v>
      </c>
      <c r="F140" s="23" t="s">
        <v>396</v>
      </c>
      <c r="G140" s="22">
        <f t="shared" si="2"/>
        <v>0.99930071285586897</v>
      </c>
    </row>
    <row r="141" spans="1:7" x14ac:dyDescent="0.35">
      <c r="A141" s="13">
        <v>44174</v>
      </c>
      <c r="B141" s="14">
        <v>1039.1300000000001</v>
      </c>
      <c r="C141" s="14">
        <v>1029.26</v>
      </c>
      <c r="D141" s="14">
        <v>1039.55</v>
      </c>
      <c r="E141" s="14">
        <v>1029.26</v>
      </c>
      <c r="F141" s="23" t="s">
        <v>395</v>
      </c>
      <c r="G141" s="22">
        <f t="shared" si="2"/>
        <v>1.0095437271650223</v>
      </c>
    </row>
    <row r="142" spans="1:7" x14ac:dyDescent="0.35">
      <c r="A142" s="13">
        <v>44175</v>
      </c>
      <c r="B142" s="14">
        <v>1030.9100000000001</v>
      </c>
      <c r="C142" s="14">
        <v>1041.6500000000001</v>
      </c>
      <c r="D142" s="14">
        <v>1044.0999999999999</v>
      </c>
      <c r="E142" s="14">
        <v>1030.9100000000001</v>
      </c>
      <c r="F142" s="23" t="s">
        <v>394</v>
      </c>
      <c r="G142" s="22">
        <f t="shared" si="2"/>
        <v>0.9920580827368759</v>
      </c>
    </row>
    <row r="143" spans="1:7" x14ac:dyDescent="0.35">
      <c r="A143" s="13">
        <v>44176</v>
      </c>
      <c r="B143" s="14">
        <v>1045.96</v>
      </c>
      <c r="C143" s="14">
        <v>1033.19</v>
      </c>
      <c r="D143" s="14">
        <v>1045.96</v>
      </c>
      <c r="E143" s="14">
        <v>1030.06</v>
      </c>
      <c r="F143" s="23" t="s">
        <v>393</v>
      </c>
      <c r="G143" s="22">
        <f t="shared" si="2"/>
        <v>1.0144932166586849</v>
      </c>
    </row>
    <row r="144" spans="1:7" x14ac:dyDescent="0.35">
      <c r="A144" s="13">
        <v>44179</v>
      </c>
      <c r="B144" s="14">
        <v>1064.0899999999999</v>
      </c>
      <c r="C144" s="14">
        <v>1048.97</v>
      </c>
      <c r="D144" s="14">
        <v>1064.0899999999999</v>
      </c>
      <c r="E144" s="14">
        <v>1048.97</v>
      </c>
      <c r="F144" s="23" t="s">
        <v>392</v>
      </c>
      <c r="G144" s="22">
        <f t="shared" si="2"/>
        <v>1.0171848498146379</v>
      </c>
    </row>
    <row r="145" spans="1:7" x14ac:dyDescent="0.35">
      <c r="A145" s="13">
        <v>44180</v>
      </c>
      <c r="B145" s="14">
        <v>1055.27</v>
      </c>
      <c r="C145" s="14">
        <v>1062.02</v>
      </c>
      <c r="D145" s="14">
        <v>1067.45</v>
      </c>
      <c r="E145" s="14">
        <v>1052.01</v>
      </c>
      <c r="F145" s="23" t="s">
        <v>391</v>
      </c>
      <c r="G145" s="22">
        <f t="shared" si="2"/>
        <v>0.9916766845472571</v>
      </c>
    </row>
    <row r="146" spans="1:7" x14ac:dyDescent="0.35">
      <c r="A146" s="13">
        <v>44181</v>
      </c>
      <c r="B146" s="14">
        <v>1066.99</v>
      </c>
      <c r="C146" s="14">
        <v>1058.3399999999999</v>
      </c>
      <c r="D146" s="14">
        <v>1066.99</v>
      </c>
      <c r="E146" s="14">
        <v>1057.21</v>
      </c>
      <c r="F146" s="23" t="s">
        <v>390</v>
      </c>
      <c r="G146" s="22">
        <f t="shared" si="2"/>
        <v>1.0110449418488288</v>
      </c>
    </row>
    <row r="147" spans="1:7" x14ac:dyDescent="0.35">
      <c r="A147" s="13">
        <v>44182</v>
      </c>
      <c r="B147" s="14">
        <v>1051.77</v>
      </c>
      <c r="C147" s="14">
        <v>1065.8499999999999</v>
      </c>
      <c r="D147" s="14">
        <v>1065.8499999999999</v>
      </c>
      <c r="E147" s="14">
        <v>1051.42</v>
      </c>
      <c r="F147" s="23" t="s">
        <v>389</v>
      </c>
      <c r="G147" s="22">
        <f t="shared" si="2"/>
        <v>0.98563285902906017</v>
      </c>
    </row>
    <row r="148" spans="1:7" x14ac:dyDescent="0.35">
      <c r="A148" s="13">
        <v>44183</v>
      </c>
      <c r="B148" s="14">
        <v>1067.46</v>
      </c>
      <c r="C148" s="14">
        <v>1055.75</v>
      </c>
      <c r="D148" s="14">
        <v>1068.56</v>
      </c>
      <c r="E148" s="14">
        <v>1055.75</v>
      </c>
      <c r="F148" s="23" t="s">
        <v>388</v>
      </c>
      <c r="G148" s="22">
        <f t="shared" si="2"/>
        <v>1.0148075354590713</v>
      </c>
    </row>
    <row r="149" spans="1:7" x14ac:dyDescent="0.35">
      <c r="A149" s="13">
        <v>44186</v>
      </c>
      <c r="B149" s="14">
        <v>1081.08</v>
      </c>
      <c r="C149" s="14">
        <v>1071.6199999999999</v>
      </c>
      <c r="D149" s="14">
        <v>1081.5999999999999</v>
      </c>
      <c r="E149" s="14">
        <v>1070.8599999999999</v>
      </c>
      <c r="F149" s="23" t="s">
        <v>387</v>
      </c>
      <c r="G149" s="22">
        <f t="shared" si="2"/>
        <v>1.0126785467766097</v>
      </c>
    </row>
    <row r="150" spans="1:7" x14ac:dyDescent="0.35">
      <c r="A150" s="13">
        <v>44187</v>
      </c>
      <c r="B150" s="14">
        <v>1083.45</v>
      </c>
      <c r="C150" s="14">
        <v>1081.8499999999999</v>
      </c>
      <c r="D150" s="14">
        <v>1084.23</v>
      </c>
      <c r="E150" s="14">
        <v>1077.06</v>
      </c>
      <c r="F150" s="23" t="s">
        <v>386</v>
      </c>
      <c r="G150" s="22">
        <f t="shared" si="2"/>
        <v>1.0021898527136168</v>
      </c>
    </row>
    <row r="151" spans="1:7" x14ac:dyDescent="0.35">
      <c r="A151" s="13">
        <v>44188</v>
      </c>
      <c r="B151" s="14">
        <v>1078.9000000000001</v>
      </c>
      <c r="C151" s="14">
        <v>1087.8900000000001</v>
      </c>
      <c r="D151" s="14">
        <v>1094.0899999999999</v>
      </c>
      <c r="E151" s="14">
        <v>1077.92</v>
      </c>
      <c r="F151" s="23" t="s">
        <v>385</v>
      </c>
      <c r="G151" s="22">
        <f t="shared" si="2"/>
        <v>0.99579160939232891</v>
      </c>
    </row>
    <row r="152" spans="1:7" x14ac:dyDescent="0.35">
      <c r="A152" s="13">
        <v>44189</v>
      </c>
      <c r="B152" s="14">
        <v>1067.52</v>
      </c>
      <c r="C152" s="14">
        <v>1083.83</v>
      </c>
      <c r="D152" s="14">
        <v>1084.76</v>
      </c>
      <c r="E152" s="14">
        <v>1046.8900000000001</v>
      </c>
      <c r="F152" s="23" t="s">
        <v>384</v>
      </c>
      <c r="G152" s="22">
        <f t="shared" si="2"/>
        <v>0.98939619773297804</v>
      </c>
    </row>
    <row r="153" spans="1:7" x14ac:dyDescent="0.35">
      <c r="A153" s="13">
        <v>44190</v>
      </c>
      <c r="B153" s="14">
        <v>1084.42</v>
      </c>
      <c r="C153" s="14">
        <v>1068.83</v>
      </c>
      <c r="D153" s="14">
        <v>1084.42</v>
      </c>
      <c r="E153" s="14">
        <v>1061.83</v>
      </c>
      <c r="F153" s="23" t="s">
        <v>383</v>
      </c>
      <c r="G153" s="22">
        <f t="shared" si="2"/>
        <v>1.015707080542988</v>
      </c>
    </row>
    <row r="154" spans="1:7" x14ac:dyDescent="0.35">
      <c r="A154" s="13">
        <v>44193</v>
      </c>
      <c r="B154" s="14">
        <v>1091.33</v>
      </c>
      <c r="C154" s="14">
        <v>1094.3699999999999</v>
      </c>
      <c r="D154" s="14">
        <v>1096.1099999999999</v>
      </c>
      <c r="E154" s="14">
        <v>1083.9000000000001</v>
      </c>
      <c r="F154" s="23" t="s">
        <v>382</v>
      </c>
      <c r="G154" s="22">
        <f t="shared" si="2"/>
        <v>1.0063518540572993</v>
      </c>
    </row>
    <row r="155" spans="1:7" x14ac:dyDescent="0.35">
      <c r="A155" s="13">
        <v>44194</v>
      </c>
      <c r="B155" s="14">
        <v>1099.49</v>
      </c>
      <c r="C155" s="14">
        <v>1090.49</v>
      </c>
      <c r="D155" s="14">
        <v>1102.79</v>
      </c>
      <c r="E155" s="14">
        <v>1087.93</v>
      </c>
      <c r="F155" s="23" t="s">
        <v>381</v>
      </c>
      <c r="G155" s="22">
        <f t="shared" si="2"/>
        <v>1.0074493000196945</v>
      </c>
    </row>
    <row r="156" spans="1:7" x14ac:dyDescent="0.35">
      <c r="A156" s="13">
        <v>44195</v>
      </c>
      <c r="B156" s="14">
        <v>1097.54</v>
      </c>
      <c r="C156" s="14">
        <v>1099.78</v>
      </c>
      <c r="D156" s="14">
        <v>1108.83</v>
      </c>
      <c r="E156" s="14">
        <v>1094.9100000000001</v>
      </c>
      <c r="F156" s="23" t="s">
        <v>380</v>
      </c>
      <c r="G156" s="22">
        <f t="shared" si="2"/>
        <v>0.99822487584416397</v>
      </c>
    </row>
    <row r="157" spans="1:7" x14ac:dyDescent="0.35">
      <c r="A157" s="13">
        <v>44196</v>
      </c>
      <c r="B157" s="14">
        <v>1103.8699999999999</v>
      </c>
      <c r="C157" s="14">
        <v>1098.25</v>
      </c>
      <c r="D157" s="14">
        <v>1105.33</v>
      </c>
      <c r="E157" s="14">
        <v>1096.27</v>
      </c>
      <c r="F157" s="23" t="s">
        <v>379</v>
      </c>
      <c r="G157" s="22">
        <f t="shared" si="2"/>
        <v>1.0057508755259317</v>
      </c>
    </row>
    <row r="158" spans="1:7" x14ac:dyDescent="0.35">
      <c r="A158" s="13">
        <v>44200</v>
      </c>
      <c r="B158" s="14">
        <v>1120.47</v>
      </c>
      <c r="C158" s="14">
        <v>1113.77</v>
      </c>
      <c r="D158" s="14">
        <v>1126.43</v>
      </c>
      <c r="E158" s="14">
        <v>1113.5899999999999</v>
      </c>
      <c r="F158" s="23" t="s">
        <v>378</v>
      </c>
      <c r="G158" s="22">
        <f t="shared" si="2"/>
        <v>1.0149260528404946</v>
      </c>
    </row>
    <row r="159" spans="1:7" x14ac:dyDescent="0.35">
      <c r="A159" s="13">
        <v>44201</v>
      </c>
      <c r="B159" s="14">
        <v>1132.55</v>
      </c>
      <c r="C159" s="14">
        <v>1116.96</v>
      </c>
      <c r="D159" s="14">
        <v>1134.45</v>
      </c>
      <c r="E159" s="14">
        <v>1116.49</v>
      </c>
      <c r="F159" s="23" t="s">
        <v>377</v>
      </c>
      <c r="G159" s="22">
        <f t="shared" si="2"/>
        <v>1.0107234873721322</v>
      </c>
    </row>
    <row r="160" spans="1:7" x14ac:dyDescent="0.35">
      <c r="A160" s="13">
        <v>44202</v>
      </c>
      <c r="B160" s="14">
        <v>1143.21</v>
      </c>
      <c r="C160" s="14">
        <v>1139.1199999999999</v>
      </c>
      <c r="D160" s="14">
        <v>1152.8499999999999</v>
      </c>
      <c r="E160" s="14">
        <v>1133.7</v>
      </c>
      <c r="F160" s="23" t="s">
        <v>376</v>
      </c>
      <c r="G160" s="22">
        <f t="shared" si="2"/>
        <v>1.0093683674602099</v>
      </c>
    </row>
    <row r="161" spans="1:7" x14ac:dyDescent="0.35">
      <c r="A161" s="13">
        <v>44203</v>
      </c>
      <c r="B161" s="14">
        <v>1156.49</v>
      </c>
      <c r="C161" s="14">
        <v>1147.26</v>
      </c>
      <c r="D161" s="14">
        <v>1156.49</v>
      </c>
      <c r="E161" s="14">
        <v>1143.44</v>
      </c>
      <c r="F161" s="23" t="s">
        <v>375</v>
      </c>
      <c r="G161" s="22">
        <f t="shared" si="2"/>
        <v>1.0115494609018485</v>
      </c>
    </row>
    <row r="162" spans="1:7" x14ac:dyDescent="0.35">
      <c r="A162" s="13">
        <v>44204</v>
      </c>
      <c r="B162" s="14">
        <v>1167.69</v>
      </c>
      <c r="C162" s="14">
        <v>1164.0999999999999</v>
      </c>
      <c r="D162" s="14">
        <v>1176.33</v>
      </c>
      <c r="E162" s="14">
        <v>1160.48</v>
      </c>
      <c r="F162" s="23" t="s">
        <v>374</v>
      </c>
      <c r="G162" s="22">
        <f t="shared" si="2"/>
        <v>1.0096378823465109</v>
      </c>
    </row>
    <row r="163" spans="1:7" x14ac:dyDescent="0.35">
      <c r="A163" s="13">
        <v>44207</v>
      </c>
      <c r="B163" s="14">
        <v>1184.8900000000001</v>
      </c>
      <c r="C163" s="14">
        <v>1176.47</v>
      </c>
      <c r="D163" s="14">
        <v>1186.45</v>
      </c>
      <c r="E163" s="14">
        <v>1175</v>
      </c>
      <c r="F163" s="23" t="s">
        <v>373</v>
      </c>
      <c r="G163" s="22">
        <f t="shared" si="2"/>
        <v>1.0146225050547728</v>
      </c>
    </row>
    <row r="164" spans="1:7" x14ac:dyDescent="0.35">
      <c r="A164" s="13">
        <v>44208</v>
      </c>
      <c r="B164" s="14">
        <v>1192.28</v>
      </c>
      <c r="C164" s="14">
        <v>1190.3800000000001</v>
      </c>
      <c r="D164" s="14">
        <v>1192.28</v>
      </c>
      <c r="E164" s="14">
        <v>1179.24</v>
      </c>
      <c r="F164" s="23" t="s">
        <v>372</v>
      </c>
      <c r="G164" s="22">
        <f t="shared" si="2"/>
        <v>1.0062174971133071</v>
      </c>
    </row>
    <row r="165" spans="1:7" x14ac:dyDescent="0.35">
      <c r="A165" s="13">
        <v>44209</v>
      </c>
      <c r="B165" s="14">
        <v>1186.05</v>
      </c>
      <c r="C165" s="14">
        <v>1197.32</v>
      </c>
      <c r="D165" s="14">
        <v>1200.82</v>
      </c>
      <c r="E165" s="14">
        <v>1183.18</v>
      </c>
      <c r="F165" s="23" t="s">
        <v>371</v>
      </c>
      <c r="G165" s="22">
        <f t="shared" si="2"/>
        <v>0.99476101781541926</v>
      </c>
    </row>
    <row r="166" spans="1:7" x14ac:dyDescent="0.35">
      <c r="A166" s="13">
        <v>44210</v>
      </c>
      <c r="B166" s="14">
        <v>1187.4000000000001</v>
      </c>
      <c r="C166" s="14">
        <v>1189.48</v>
      </c>
      <c r="D166" s="14">
        <v>1190.5</v>
      </c>
      <c r="E166" s="14">
        <v>1178.8399999999999</v>
      </c>
      <c r="F166" s="23" t="s">
        <v>370</v>
      </c>
      <c r="G166" s="22">
        <f t="shared" si="2"/>
        <v>1.0011375846515294</v>
      </c>
    </row>
    <row r="167" spans="1:7" x14ac:dyDescent="0.35">
      <c r="A167" s="13">
        <v>44211</v>
      </c>
      <c r="B167" s="14">
        <v>1194.2</v>
      </c>
      <c r="C167" s="14">
        <v>1188.8399999999999</v>
      </c>
      <c r="D167" s="14">
        <v>1197.74</v>
      </c>
      <c r="E167" s="14">
        <v>1188.8399999999999</v>
      </c>
      <c r="F167" s="23" t="s">
        <v>369</v>
      </c>
      <c r="G167" s="22">
        <f t="shared" si="2"/>
        <v>1.0057104622763171</v>
      </c>
    </row>
    <row r="168" spans="1:7" x14ac:dyDescent="0.35">
      <c r="A168" s="13">
        <v>44214</v>
      </c>
      <c r="B168" s="14">
        <v>1191.94</v>
      </c>
      <c r="C168" s="14">
        <v>1198.79</v>
      </c>
      <c r="D168" s="14">
        <v>1200.8499999999999</v>
      </c>
      <c r="E168" s="14">
        <v>1190.33</v>
      </c>
      <c r="F168" s="23" t="s">
        <v>368</v>
      </c>
      <c r="G168" s="22">
        <f t="shared" si="2"/>
        <v>0.99810572667505582</v>
      </c>
    </row>
    <row r="169" spans="1:7" x14ac:dyDescent="0.35">
      <c r="A169" s="13">
        <v>44215</v>
      </c>
      <c r="B169" s="14">
        <v>1131</v>
      </c>
      <c r="C169" s="14">
        <v>1189.9100000000001</v>
      </c>
      <c r="D169" s="14">
        <v>1189.9100000000001</v>
      </c>
      <c r="E169" s="14">
        <v>1117.17</v>
      </c>
      <c r="F169" s="23" t="s">
        <v>367</v>
      </c>
      <c r="G169" s="22">
        <f t="shared" si="2"/>
        <v>0.94751996532817251</v>
      </c>
    </row>
    <row r="170" spans="1:7" x14ac:dyDescent="0.35">
      <c r="A170" s="13">
        <v>44216</v>
      </c>
      <c r="B170" s="14">
        <v>1134.68</v>
      </c>
      <c r="C170" s="14">
        <v>1136.5</v>
      </c>
      <c r="D170" s="14">
        <v>1142.48</v>
      </c>
      <c r="E170" s="14">
        <v>1098.05</v>
      </c>
      <c r="F170" s="23" t="s">
        <v>366</v>
      </c>
      <c r="G170" s="22">
        <f t="shared" si="2"/>
        <v>1.0032484757213096</v>
      </c>
    </row>
    <row r="171" spans="1:7" x14ac:dyDescent="0.35">
      <c r="A171" s="13">
        <v>44217</v>
      </c>
      <c r="B171" s="14">
        <v>1164.21</v>
      </c>
      <c r="C171" s="14">
        <v>1146.8599999999999</v>
      </c>
      <c r="D171" s="14">
        <v>1164.21</v>
      </c>
      <c r="E171" s="14">
        <v>1132.6600000000001</v>
      </c>
      <c r="F171" s="23" t="s">
        <v>365</v>
      </c>
      <c r="G171" s="22">
        <f t="shared" si="2"/>
        <v>1.0256920725527323</v>
      </c>
    </row>
    <row r="172" spans="1:7" x14ac:dyDescent="0.35">
      <c r="A172" s="13">
        <v>44218</v>
      </c>
      <c r="B172" s="14">
        <v>1166.78</v>
      </c>
      <c r="C172" s="14">
        <v>1166.77</v>
      </c>
      <c r="D172" s="14">
        <v>1175.72</v>
      </c>
      <c r="E172" s="14">
        <v>1161.43</v>
      </c>
      <c r="F172" s="23" t="s">
        <v>364</v>
      </c>
      <c r="G172" s="22">
        <f t="shared" si="2"/>
        <v>1.002205072558314</v>
      </c>
    </row>
    <row r="173" spans="1:7" x14ac:dyDescent="0.35">
      <c r="A173" s="13">
        <v>44221</v>
      </c>
      <c r="B173" s="14">
        <v>1166.05</v>
      </c>
      <c r="C173" s="14">
        <v>1164.2</v>
      </c>
      <c r="D173" s="14">
        <v>1172.18</v>
      </c>
      <c r="E173" s="14">
        <v>1162.8</v>
      </c>
      <c r="F173" s="23" t="s">
        <v>363</v>
      </c>
      <c r="G173" s="22">
        <f t="shared" si="2"/>
        <v>0.99937415068922497</v>
      </c>
    </row>
    <row r="174" spans="1:7" x14ac:dyDescent="0.35">
      <c r="A174" s="13">
        <v>44222</v>
      </c>
      <c r="B174" s="14">
        <v>1136.1199999999999</v>
      </c>
      <c r="C174" s="14">
        <v>1164.97</v>
      </c>
      <c r="D174" s="14">
        <v>1164.97</v>
      </c>
      <c r="E174" s="14">
        <v>1121.03</v>
      </c>
      <c r="F174" s="23" t="s">
        <v>362</v>
      </c>
      <c r="G174" s="22">
        <f t="shared" si="2"/>
        <v>0.9739969798673549</v>
      </c>
    </row>
    <row r="175" spans="1:7" x14ac:dyDescent="0.35">
      <c r="A175" s="13">
        <v>44223</v>
      </c>
      <c r="B175" s="14">
        <v>1097.17</v>
      </c>
      <c r="C175" s="14">
        <v>1122.4100000000001</v>
      </c>
      <c r="D175" s="14">
        <v>1132.99</v>
      </c>
      <c r="E175" s="14">
        <v>1088.8599999999999</v>
      </c>
      <c r="F175" s="23" t="s">
        <v>361</v>
      </c>
      <c r="G175" s="22">
        <f t="shared" si="2"/>
        <v>0.96511518885866332</v>
      </c>
    </row>
    <row r="176" spans="1:7" x14ac:dyDescent="0.35">
      <c r="A176" s="13">
        <v>44224</v>
      </c>
      <c r="B176" s="14">
        <v>1023.94</v>
      </c>
      <c r="C176" s="14">
        <v>1041.71</v>
      </c>
      <c r="D176" s="14">
        <v>1052.1600000000001</v>
      </c>
      <c r="E176" s="14">
        <v>1022.77</v>
      </c>
      <c r="F176" s="23" t="s">
        <v>360</v>
      </c>
      <c r="G176" s="22">
        <f t="shared" si="2"/>
        <v>0.93092379376905288</v>
      </c>
    </row>
    <row r="177" spans="1:7" x14ac:dyDescent="0.35">
      <c r="A177" s="13">
        <v>44225</v>
      </c>
      <c r="B177" s="14">
        <v>1056.6099999999999</v>
      </c>
      <c r="C177">
        <v>998.33</v>
      </c>
      <c r="D177" s="14">
        <v>1076.1099999999999</v>
      </c>
      <c r="E177">
        <v>998.33</v>
      </c>
      <c r="F177" s="23" t="s">
        <v>359</v>
      </c>
      <c r="G177" s="22">
        <f t="shared" si="2"/>
        <v>1.0314077388721721</v>
      </c>
    </row>
    <row r="178" spans="1:7" x14ac:dyDescent="0.35">
      <c r="A178" s="13">
        <v>44228</v>
      </c>
      <c r="B178" s="14">
        <v>1035.51</v>
      </c>
      <c r="C178" s="14">
        <v>1056.6099999999999</v>
      </c>
      <c r="D178" s="14">
        <v>1074.52</v>
      </c>
      <c r="E178" s="14">
        <v>1035.51</v>
      </c>
      <c r="F178" s="23" t="s">
        <v>358</v>
      </c>
      <c r="G178" s="22">
        <f t="shared" si="2"/>
        <v>0.9798283889545133</v>
      </c>
    </row>
    <row r="179" spans="1:7" x14ac:dyDescent="0.35">
      <c r="A179" s="13">
        <v>44229</v>
      </c>
      <c r="B179" s="14">
        <v>1075.53</v>
      </c>
      <c r="C179" s="14">
        <v>1036.95</v>
      </c>
      <c r="D179" s="14">
        <v>1075.53</v>
      </c>
      <c r="E179" s="14">
        <v>1029.3599999999999</v>
      </c>
      <c r="F179" s="23" t="s">
        <v>357</v>
      </c>
      <c r="G179" s="22">
        <f t="shared" si="2"/>
        <v>1.0379195043620859</v>
      </c>
    </row>
    <row r="180" spans="1:7" x14ac:dyDescent="0.35">
      <c r="A180" s="13">
        <v>44230</v>
      </c>
      <c r="B180" s="14">
        <v>1111.29</v>
      </c>
      <c r="C180" s="14">
        <v>1084.8699999999999</v>
      </c>
      <c r="D180" s="14">
        <v>1113.24</v>
      </c>
      <c r="E180" s="14">
        <v>1082.95</v>
      </c>
      <c r="F180" s="23" t="s">
        <v>356</v>
      </c>
      <c r="G180" s="22">
        <f t="shared" si="2"/>
        <v>1.0327079393593106</v>
      </c>
    </row>
    <row r="181" spans="1:7" x14ac:dyDescent="0.35">
      <c r="A181" s="13">
        <v>44231</v>
      </c>
      <c r="B181" s="14">
        <v>1112.19</v>
      </c>
      <c r="C181" s="14">
        <v>1112.97</v>
      </c>
      <c r="D181" s="14">
        <v>1117.8800000000001</v>
      </c>
      <c r="E181" s="14">
        <v>1098.8499999999999</v>
      </c>
      <c r="F181" s="23" t="s">
        <v>355</v>
      </c>
      <c r="G181" s="22">
        <f t="shared" si="2"/>
        <v>1.0008095418435532</v>
      </c>
    </row>
    <row r="182" spans="1:7" x14ac:dyDescent="0.35">
      <c r="A182" s="13">
        <v>44232</v>
      </c>
      <c r="B182" s="14">
        <v>1126.9100000000001</v>
      </c>
      <c r="C182" s="14">
        <v>1114.79</v>
      </c>
      <c r="D182" s="14">
        <v>1126.9100000000001</v>
      </c>
      <c r="E182" s="14">
        <v>1112.19</v>
      </c>
      <c r="F182" s="23" t="s">
        <v>354</v>
      </c>
      <c r="G182" s="22">
        <f t="shared" si="2"/>
        <v>1.0131483292963779</v>
      </c>
    </row>
    <row r="183" spans="1:7" x14ac:dyDescent="0.35">
      <c r="A183" s="13">
        <v>44235</v>
      </c>
      <c r="B183" s="14">
        <v>1083.18</v>
      </c>
      <c r="C183" s="14">
        <v>1127.06</v>
      </c>
      <c r="D183" s="14">
        <v>1127.06</v>
      </c>
      <c r="E183" s="14">
        <v>1075.0999999999999</v>
      </c>
      <c r="F183" s="23" t="s">
        <v>353</v>
      </c>
      <c r="G183" s="22">
        <f t="shared" si="2"/>
        <v>0.96042178535583622</v>
      </c>
    </row>
    <row r="184" spans="1:7" x14ac:dyDescent="0.35">
      <c r="A184" s="13">
        <v>44236</v>
      </c>
      <c r="B184" s="14">
        <v>1114.93</v>
      </c>
      <c r="C184" s="14">
        <v>1090.8800000000001</v>
      </c>
      <c r="D184" s="14">
        <v>1114.93</v>
      </c>
      <c r="E184" s="14">
        <v>1078.98</v>
      </c>
      <c r="F184" s="23" t="s">
        <v>352</v>
      </c>
      <c r="G184" s="22">
        <f t="shared" si="2"/>
        <v>1.0288904634777756</v>
      </c>
    </row>
    <row r="185" spans="1:7" x14ac:dyDescent="0.35">
      <c r="A185" s="13">
        <v>44244</v>
      </c>
      <c r="B185" s="14">
        <v>1155.78</v>
      </c>
      <c r="C185" s="14">
        <v>1127.46</v>
      </c>
      <c r="D185" s="14">
        <v>1155.78</v>
      </c>
      <c r="E185" s="14">
        <v>1127.46</v>
      </c>
      <c r="F185" s="23" t="s">
        <v>351</v>
      </c>
      <c r="G185" s="22">
        <f t="shared" si="2"/>
        <v>1.0359838180477243</v>
      </c>
    </row>
    <row r="186" spans="1:7" x14ac:dyDescent="0.35">
      <c r="A186" s="13">
        <v>44245</v>
      </c>
      <c r="B186" s="14">
        <v>1174.3800000000001</v>
      </c>
      <c r="C186" s="14">
        <v>1157.0999999999999</v>
      </c>
      <c r="D186" s="14">
        <v>1174.3800000000001</v>
      </c>
      <c r="E186" s="14">
        <v>1148.6600000000001</v>
      </c>
      <c r="F186" s="23" t="s">
        <v>350</v>
      </c>
      <c r="G186" s="22">
        <f t="shared" si="2"/>
        <v>1.0159649080403659</v>
      </c>
    </row>
    <row r="187" spans="1:7" x14ac:dyDescent="0.35">
      <c r="A187" s="13">
        <v>44246</v>
      </c>
      <c r="B187" s="14">
        <v>1173.5</v>
      </c>
      <c r="C187" s="14">
        <v>1160.6500000000001</v>
      </c>
      <c r="D187" s="14">
        <v>1178.18</v>
      </c>
      <c r="E187" s="14">
        <v>1157.5999999999999</v>
      </c>
      <c r="F187" s="23" t="s">
        <v>349</v>
      </c>
      <c r="G187" s="22">
        <f t="shared" si="2"/>
        <v>0.99925038754859064</v>
      </c>
    </row>
    <row r="188" spans="1:7" x14ac:dyDescent="0.35">
      <c r="A188" s="13">
        <v>44249</v>
      </c>
      <c r="B188" s="14">
        <v>1175.04</v>
      </c>
      <c r="C188" s="14">
        <v>1173.57</v>
      </c>
      <c r="D188" s="14">
        <v>1182.67</v>
      </c>
      <c r="E188" s="14">
        <v>1169.1199999999999</v>
      </c>
      <c r="F188" s="23" t="s">
        <v>348</v>
      </c>
      <c r="G188" s="22">
        <f t="shared" si="2"/>
        <v>1.0013114532609382</v>
      </c>
    </row>
    <row r="189" spans="1:7" x14ac:dyDescent="0.35">
      <c r="A189" s="13">
        <v>44250</v>
      </c>
      <c r="B189" s="14">
        <v>1177.6400000000001</v>
      </c>
      <c r="C189" s="14">
        <v>1174.57</v>
      </c>
      <c r="D189" s="14">
        <v>1184.32</v>
      </c>
      <c r="E189" s="14">
        <v>1168.32</v>
      </c>
      <c r="F189" s="23" t="s">
        <v>347</v>
      </c>
      <c r="G189" s="22">
        <f t="shared" si="2"/>
        <v>1.002210246237021</v>
      </c>
    </row>
    <row r="190" spans="1:7" x14ac:dyDescent="0.35">
      <c r="A190" s="13">
        <v>44251</v>
      </c>
      <c r="B190" s="14">
        <v>1162.01</v>
      </c>
      <c r="C190" s="14">
        <v>1184.32</v>
      </c>
      <c r="D190" s="14">
        <v>1185.58</v>
      </c>
      <c r="E190" s="14">
        <v>1154.3599999999999</v>
      </c>
      <c r="F190" s="23" t="s">
        <v>346</v>
      </c>
      <c r="G190" s="22">
        <f t="shared" si="2"/>
        <v>0.98663882843776829</v>
      </c>
    </row>
    <row r="191" spans="1:7" x14ac:dyDescent="0.35">
      <c r="A191" s="13">
        <v>44252</v>
      </c>
      <c r="B191" s="14">
        <v>1165.43</v>
      </c>
      <c r="C191" s="14">
        <v>1169.97</v>
      </c>
      <c r="D191" s="14">
        <v>1169.97</v>
      </c>
      <c r="E191" s="14">
        <v>1155.74</v>
      </c>
      <c r="F191" s="23" t="s">
        <v>345</v>
      </c>
      <c r="G191" s="22">
        <f t="shared" si="2"/>
        <v>1.0029388533852683</v>
      </c>
    </row>
    <row r="192" spans="1:7" x14ac:dyDescent="0.35">
      <c r="A192" s="13">
        <v>44253</v>
      </c>
      <c r="B192" s="14">
        <v>1168.47</v>
      </c>
      <c r="C192" s="14">
        <v>1148.8800000000001</v>
      </c>
      <c r="D192" s="14">
        <v>1169.28</v>
      </c>
      <c r="E192" s="14">
        <v>1148.8800000000001</v>
      </c>
      <c r="F192" s="23" t="s">
        <v>344</v>
      </c>
      <c r="G192" s="22">
        <f t="shared" si="2"/>
        <v>1.0026050830963074</v>
      </c>
    </row>
    <row r="193" spans="1:7" x14ac:dyDescent="0.35">
      <c r="A193" s="13">
        <v>44256</v>
      </c>
      <c r="B193" s="14">
        <v>1186.17</v>
      </c>
      <c r="C193" s="14">
        <v>1176.93</v>
      </c>
      <c r="D193" s="14">
        <v>1186.82</v>
      </c>
      <c r="E193" s="14">
        <v>1174.45</v>
      </c>
      <c r="F193" s="23" t="s">
        <v>343</v>
      </c>
      <c r="G193" s="22">
        <f t="shared" si="2"/>
        <v>1.0150344285317119</v>
      </c>
    </row>
    <row r="194" spans="1:7" x14ac:dyDescent="0.35">
      <c r="A194" s="13">
        <v>44257</v>
      </c>
      <c r="B194" s="14">
        <v>1186.6099999999999</v>
      </c>
      <c r="C194" s="14">
        <v>1196.1600000000001</v>
      </c>
      <c r="D194" s="14">
        <v>1196.1600000000001</v>
      </c>
      <c r="E194" s="14">
        <v>1181.99</v>
      </c>
      <c r="F194" s="23" t="s">
        <v>342</v>
      </c>
      <c r="G194" s="22">
        <f t="shared" si="2"/>
        <v>1.0003708729886827</v>
      </c>
    </row>
    <row r="195" spans="1:7" x14ac:dyDescent="0.35">
      <c r="A195" s="13">
        <v>44258</v>
      </c>
      <c r="B195" s="14">
        <v>1186.95</v>
      </c>
      <c r="C195" s="14">
        <v>1184.73</v>
      </c>
      <c r="D195" s="14">
        <v>1189.18</v>
      </c>
      <c r="E195" s="14">
        <v>1180.25</v>
      </c>
      <c r="F195" s="23" t="s">
        <v>341</v>
      </c>
      <c r="G195" s="22">
        <f t="shared" si="2"/>
        <v>1.0002864894945362</v>
      </c>
    </row>
    <row r="196" spans="1:7" x14ac:dyDescent="0.35">
      <c r="A196" s="13">
        <v>44259</v>
      </c>
      <c r="B196" s="14">
        <v>1168.52</v>
      </c>
      <c r="C196" s="14">
        <v>1191.78</v>
      </c>
      <c r="D196" s="14">
        <v>1191.9000000000001</v>
      </c>
      <c r="E196" s="14">
        <v>1159.48</v>
      </c>
      <c r="F196" s="23" t="s">
        <v>340</v>
      </c>
      <c r="G196" s="22">
        <f t="shared" ref="G196:G259" si="3">LN(B196/B195)+1</f>
        <v>0.98435099906975743</v>
      </c>
    </row>
    <row r="197" spans="1:7" x14ac:dyDescent="0.35">
      <c r="A197" s="13">
        <v>44260</v>
      </c>
      <c r="B197" s="14">
        <v>1168.69</v>
      </c>
      <c r="C197" s="14">
        <v>1164.19</v>
      </c>
      <c r="D197" s="14">
        <v>1169.56</v>
      </c>
      <c r="E197" s="14">
        <v>1155.5999999999999</v>
      </c>
      <c r="F197" s="23" t="s">
        <v>339</v>
      </c>
      <c r="G197" s="22">
        <f t="shared" si="3"/>
        <v>1.0001454725936478</v>
      </c>
    </row>
    <row r="198" spans="1:7" x14ac:dyDescent="0.35">
      <c r="A198" s="13">
        <v>44263</v>
      </c>
      <c r="B198" s="14">
        <v>1168.27</v>
      </c>
      <c r="C198" s="14">
        <v>1180.33</v>
      </c>
      <c r="D198" s="14">
        <v>1181.25</v>
      </c>
      <c r="E198" s="14">
        <v>1164.02</v>
      </c>
      <c r="F198" s="23" t="s">
        <v>338</v>
      </c>
      <c r="G198" s="22">
        <f t="shared" si="3"/>
        <v>0.99964055867064738</v>
      </c>
    </row>
    <row r="199" spans="1:7" x14ac:dyDescent="0.35">
      <c r="A199" s="13">
        <v>44264</v>
      </c>
      <c r="B199" s="14">
        <v>1161.97</v>
      </c>
      <c r="C199" s="14">
        <v>1160.96</v>
      </c>
      <c r="D199" s="14">
        <v>1166.42</v>
      </c>
      <c r="E199" s="14">
        <v>1150.94</v>
      </c>
      <c r="F199" s="23" t="s">
        <v>337</v>
      </c>
      <c r="G199" s="22">
        <f t="shared" si="3"/>
        <v>0.99459281846527492</v>
      </c>
    </row>
    <row r="200" spans="1:7" x14ac:dyDescent="0.35">
      <c r="A200" s="13">
        <v>44265</v>
      </c>
      <c r="B200" s="14">
        <v>1170.08</v>
      </c>
      <c r="C200" s="14">
        <v>1163.8599999999999</v>
      </c>
      <c r="D200" s="14">
        <v>1170.5899999999999</v>
      </c>
      <c r="E200" s="14">
        <v>1154.8900000000001</v>
      </c>
      <c r="F200" s="23" t="s">
        <v>336</v>
      </c>
      <c r="G200" s="22">
        <f t="shared" si="3"/>
        <v>1.0069552820000012</v>
      </c>
    </row>
    <row r="201" spans="1:7" x14ac:dyDescent="0.35">
      <c r="A201" s="13">
        <v>44266</v>
      </c>
      <c r="B201" s="14">
        <v>1181.73</v>
      </c>
      <c r="C201" s="14">
        <v>1170.08</v>
      </c>
      <c r="D201" s="14">
        <v>1183.73</v>
      </c>
      <c r="E201" s="14">
        <v>1170.08</v>
      </c>
      <c r="F201" s="23" t="s">
        <v>335</v>
      </c>
      <c r="G201" s="22">
        <f t="shared" si="3"/>
        <v>1.0099073439541806</v>
      </c>
    </row>
    <row r="202" spans="1:7" x14ac:dyDescent="0.35">
      <c r="A202" s="13">
        <v>44267</v>
      </c>
      <c r="B202" s="14">
        <v>1181.56</v>
      </c>
      <c r="C202" s="14">
        <v>1185.21</v>
      </c>
      <c r="D202" s="14">
        <v>1186.52</v>
      </c>
      <c r="E202" s="14">
        <v>1178.1400000000001</v>
      </c>
      <c r="F202" s="23" t="s">
        <v>334</v>
      </c>
      <c r="G202" s="22">
        <f t="shared" si="3"/>
        <v>0.99985613276382224</v>
      </c>
    </row>
    <row r="203" spans="1:7" x14ac:dyDescent="0.35">
      <c r="A203" s="13">
        <v>44270</v>
      </c>
      <c r="B203" s="14">
        <v>1184.56</v>
      </c>
      <c r="C203" s="14">
        <v>1183.8900000000001</v>
      </c>
      <c r="D203" s="14">
        <v>1186.06</v>
      </c>
      <c r="E203" s="14">
        <v>1178.8</v>
      </c>
      <c r="F203" s="23" t="s">
        <v>333</v>
      </c>
      <c r="G203" s="22">
        <f t="shared" si="3"/>
        <v>1.0025357983598195</v>
      </c>
    </row>
    <row r="204" spans="1:7" x14ac:dyDescent="0.35">
      <c r="A204" s="13">
        <v>44271</v>
      </c>
      <c r="B204" s="14">
        <v>1179.9000000000001</v>
      </c>
      <c r="C204" s="14">
        <v>1184.9100000000001</v>
      </c>
      <c r="D204" s="14">
        <v>1184.9100000000001</v>
      </c>
      <c r="E204" s="14">
        <v>1171.76</v>
      </c>
      <c r="F204" s="23" t="s">
        <v>332</v>
      </c>
      <c r="G204" s="22">
        <f t="shared" si="3"/>
        <v>0.99605829150541025</v>
      </c>
    </row>
    <row r="205" spans="1:7" x14ac:dyDescent="0.35">
      <c r="A205" s="13">
        <v>44272</v>
      </c>
      <c r="B205" s="14">
        <v>1186.0899999999999</v>
      </c>
      <c r="C205" s="14">
        <v>1178.6400000000001</v>
      </c>
      <c r="D205" s="14">
        <v>1186.0899999999999</v>
      </c>
      <c r="E205" s="14">
        <v>1176.26</v>
      </c>
      <c r="F205" s="23" t="s">
        <v>331</v>
      </c>
      <c r="G205" s="22">
        <f t="shared" si="3"/>
        <v>1.0052324939014876</v>
      </c>
    </row>
    <row r="206" spans="1:7" x14ac:dyDescent="0.35">
      <c r="A206" s="13">
        <v>44273</v>
      </c>
      <c r="B206" s="14">
        <v>1200.94</v>
      </c>
      <c r="C206" s="14">
        <v>1196.5999999999999</v>
      </c>
      <c r="D206" s="14">
        <v>1200.94</v>
      </c>
      <c r="E206" s="14">
        <v>1191.94</v>
      </c>
      <c r="F206" s="23" t="s">
        <v>330</v>
      </c>
      <c r="G206" s="22">
        <f t="shared" si="3"/>
        <v>1.0124424004566348</v>
      </c>
    </row>
    <row r="207" spans="1:7" x14ac:dyDescent="0.35">
      <c r="A207" s="13">
        <v>44274</v>
      </c>
      <c r="B207" s="14">
        <v>1194.05</v>
      </c>
      <c r="C207" s="14">
        <v>1195.47</v>
      </c>
      <c r="D207" s="14">
        <v>1199.67</v>
      </c>
      <c r="E207" s="14">
        <v>1191.96</v>
      </c>
      <c r="F207" s="23" t="s">
        <v>329</v>
      </c>
      <c r="G207" s="22">
        <f t="shared" si="3"/>
        <v>0.99424630665867531</v>
      </c>
    </row>
    <row r="208" spans="1:7" x14ac:dyDescent="0.35">
      <c r="A208" s="13">
        <v>44277</v>
      </c>
      <c r="B208" s="14">
        <v>1194.43</v>
      </c>
      <c r="C208" s="14">
        <v>1200.05</v>
      </c>
      <c r="D208" s="14">
        <v>1200.21</v>
      </c>
      <c r="E208" s="14">
        <v>1189.31</v>
      </c>
      <c r="F208" s="23" t="s">
        <v>328</v>
      </c>
      <c r="G208" s="22">
        <f t="shared" si="3"/>
        <v>1.0003181940005412</v>
      </c>
    </row>
    <row r="209" spans="1:7" x14ac:dyDescent="0.35">
      <c r="A209" s="13">
        <v>44278</v>
      </c>
      <c r="B209" s="14">
        <v>1183.45</v>
      </c>
      <c r="C209" s="14">
        <v>1190.28</v>
      </c>
      <c r="D209" s="14">
        <v>1191.47</v>
      </c>
      <c r="E209" s="14">
        <v>1177.0999999999999</v>
      </c>
      <c r="F209" s="23" t="s">
        <v>327</v>
      </c>
      <c r="G209" s="22">
        <f t="shared" si="3"/>
        <v>0.99076481736760769</v>
      </c>
    </row>
    <row r="210" spans="1:7" x14ac:dyDescent="0.35">
      <c r="A210" s="13">
        <v>44279</v>
      </c>
      <c r="B210" s="14">
        <v>1161.81</v>
      </c>
      <c r="C210" s="14">
        <v>1169.42</v>
      </c>
      <c r="D210" s="14">
        <v>1174.2</v>
      </c>
      <c r="E210" s="14">
        <v>1154.22</v>
      </c>
      <c r="F210" s="23" t="s">
        <v>326</v>
      </c>
      <c r="G210" s="22">
        <f t="shared" si="3"/>
        <v>0.98154523236401703</v>
      </c>
    </row>
    <row r="211" spans="1:7" x14ac:dyDescent="0.35">
      <c r="A211" s="13">
        <v>44280</v>
      </c>
      <c r="B211" s="14">
        <v>1163.0999999999999</v>
      </c>
      <c r="C211" s="14">
        <v>1164.4100000000001</v>
      </c>
      <c r="D211" s="14">
        <v>1170.76</v>
      </c>
      <c r="E211" s="14">
        <v>1154.44</v>
      </c>
      <c r="F211" s="23" t="s">
        <v>325</v>
      </c>
      <c r="G211" s="22">
        <f t="shared" si="3"/>
        <v>1.0011097204901558</v>
      </c>
    </row>
    <row r="212" spans="1:7" x14ac:dyDescent="0.35">
      <c r="A212" s="13">
        <v>44281</v>
      </c>
      <c r="B212" s="14">
        <v>1162.21</v>
      </c>
      <c r="C212" s="14">
        <v>1162.71</v>
      </c>
      <c r="D212" s="14">
        <v>1165.76</v>
      </c>
      <c r="E212" s="14">
        <v>1137.9000000000001</v>
      </c>
      <c r="F212" s="23" t="s">
        <v>324</v>
      </c>
      <c r="G212" s="22">
        <f t="shared" si="3"/>
        <v>0.99923451063001534</v>
      </c>
    </row>
    <row r="213" spans="1:7" x14ac:dyDescent="0.35">
      <c r="A213" s="13">
        <v>44284</v>
      </c>
      <c r="B213" s="14">
        <v>1175.68</v>
      </c>
      <c r="C213" s="14">
        <v>1169.6500000000001</v>
      </c>
      <c r="D213" s="14">
        <v>1175.77</v>
      </c>
      <c r="E213" s="14">
        <v>1165.78</v>
      </c>
      <c r="F213" s="23" t="s">
        <v>323</v>
      </c>
      <c r="G213" s="22">
        <f t="shared" si="3"/>
        <v>1.011523338611698</v>
      </c>
    </row>
    <row r="214" spans="1:7" x14ac:dyDescent="0.35">
      <c r="A214" s="13">
        <v>44285</v>
      </c>
      <c r="B214" s="14">
        <v>1186.3599999999999</v>
      </c>
      <c r="C214" s="14">
        <v>1179.6400000000001</v>
      </c>
      <c r="D214" s="14">
        <v>1187.29</v>
      </c>
      <c r="E214" s="14">
        <v>1172.8499999999999</v>
      </c>
      <c r="F214" s="23" t="s">
        <v>322</v>
      </c>
      <c r="G214" s="22">
        <f t="shared" si="3"/>
        <v>1.0090430922269655</v>
      </c>
    </row>
    <row r="215" spans="1:7" x14ac:dyDescent="0.35">
      <c r="A215" s="13">
        <v>44286</v>
      </c>
      <c r="B215" s="14">
        <v>1191.44</v>
      </c>
      <c r="C215" s="14">
        <v>1186.3599999999999</v>
      </c>
      <c r="D215" s="14">
        <v>1196.45</v>
      </c>
      <c r="E215" s="14">
        <v>1186.3599999999999</v>
      </c>
      <c r="F215" s="23" t="s">
        <v>321</v>
      </c>
      <c r="G215" s="22">
        <f t="shared" si="3"/>
        <v>1.0042728637639404</v>
      </c>
    </row>
    <row r="216" spans="1:7" x14ac:dyDescent="0.35">
      <c r="A216" s="13">
        <v>44287</v>
      </c>
      <c r="B216" s="14">
        <v>1216.0999999999999</v>
      </c>
      <c r="C216" s="14">
        <v>1194.5899999999999</v>
      </c>
      <c r="D216" s="14">
        <v>1217.26</v>
      </c>
      <c r="E216" s="14">
        <v>1192.83</v>
      </c>
      <c r="F216" s="23" t="s">
        <v>320</v>
      </c>
      <c r="G216" s="22">
        <f t="shared" si="3"/>
        <v>1.0204863574093415</v>
      </c>
    </row>
    <row r="217" spans="1:7" x14ac:dyDescent="0.35">
      <c r="A217" s="13">
        <v>44288</v>
      </c>
      <c r="B217" s="14">
        <v>1224.45</v>
      </c>
      <c r="C217" s="14">
        <v>1225.76</v>
      </c>
      <c r="D217" s="14">
        <v>1228.29</v>
      </c>
      <c r="E217" s="14">
        <v>1221.07</v>
      </c>
      <c r="F217" s="23" t="s">
        <v>319</v>
      </c>
      <c r="G217" s="22">
        <f t="shared" si="3"/>
        <v>1.0068427465785208</v>
      </c>
    </row>
    <row r="218" spans="1:7" x14ac:dyDescent="0.35">
      <c r="A218" s="13">
        <v>44291</v>
      </c>
      <c r="B218" s="14">
        <v>1236.05</v>
      </c>
      <c r="C218" s="14">
        <v>1245.28</v>
      </c>
      <c r="D218" s="14">
        <v>1245.28</v>
      </c>
      <c r="E218" s="14">
        <v>1228.18</v>
      </c>
      <c r="F218" s="23" t="s">
        <v>318</v>
      </c>
      <c r="G218" s="22">
        <f t="shared" si="3"/>
        <v>1.0094290477083914</v>
      </c>
    </row>
    <row r="219" spans="1:7" x14ac:dyDescent="0.35">
      <c r="A219" s="13">
        <v>44292</v>
      </c>
      <c r="B219" s="14">
        <v>1239.96</v>
      </c>
      <c r="C219" s="14">
        <v>1233.3699999999999</v>
      </c>
      <c r="D219" s="14">
        <v>1244.6300000000001</v>
      </c>
      <c r="E219" s="14">
        <v>1231.1400000000001</v>
      </c>
      <c r="F219" s="23" t="s">
        <v>317</v>
      </c>
      <c r="G219" s="22">
        <f t="shared" si="3"/>
        <v>1.0031583097403978</v>
      </c>
    </row>
    <row r="220" spans="1:7" x14ac:dyDescent="0.35">
      <c r="A220" s="13">
        <v>44293</v>
      </c>
      <c r="B220" s="14">
        <v>1242.3800000000001</v>
      </c>
      <c r="C220" s="14">
        <v>1237.3900000000001</v>
      </c>
      <c r="D220" s="14">
        <v>1242.3800000000001</v>
      </c>
      <c r="E220" s="14">
        <v>1232.52</v>
      </c>
      <c r="F220" s="23" t="s">
        <v>316</v>
      </c>
      <c r="G220" s="22">
        <f t="shared" si="3"/>
        <v>1.0019497738155607</v>
      </c>
    </row>
    <row r="221" spans="1:7" x14ac:dyDescent="0.35">
      <c r="A221" s="13">
        <v>44294</v>
      </c>
      <c r="B221" s="14">
        <v>1234.8900000000001</v>
      </c>
      <c r="C221" s="14">
        <v>1242.3800000000001</v>
      </c>
      <c r="D221" s="14">
        <v>1246.4000000000001</v>
      </c>
      <c r="E221" s="14">
        <v>1232.26</v>
      </c>
      <c r="F221" s="23" t="s">
        <v>315</v>
      </c>
      <c r="G221" s="22">
        <f t="shared" si="3"/>
        <v>0.99395300243947859</v>
      </c>
    </row>
    <row r="222" spans="1:7" x14ac:dyDescent="0.35">
      <c r="A222" s="13">
        <v>44295</v>
      </c>
      <c r="B222" s="14">
        <v>1231.6600000000001</v>
      </c>
      <c r="C222" s="14">
        <v>1231.51</v>
      </c>
      <c r="D222" s="14">
        <v>1234.98</v>
      </c>
      <c r="E222" s="14">
        <v>1227.5999999999999</v>
      </c>
      <c r="F222" s="23" t="s">
        <v>314</v>
      </c>
      <c r="G222" s="22">
        <f t="shared" si="3"/>
        <v>0.99738095571034868</v>
      </c>
    </row>
    <row r="223" spans="1:7" x14ac:dyDescent="0.35">
      <c r="A223" s="13">
        <v>44298</v>
      </c>
      <c r="B223" s="14">
        <v>1252.45</v>
      </c>
      <c r="C223" s="14">
        <v>1236.79</v>
      </c>
      <c r="D223" s="14">
        <v>1252.45</v>
      </c>
      <c r="E223" s="14">
        <v>1232.3499999999999</v>
      </c>
      <c r="F223" s="23" t="s">
        <v>313</v>
      </c>
      <c r="G223" s="22">
        <f t="shared" si="3"/>
        <v>1.0167387800228567</v>
      </c>
    </row>
    <row r="224" spans="1:7" x14ac:dyDescent="0.35">
      <c r="A224" s="13">
        <v>44299</v>
      </c>
      <c r="B224" s="14">
        <v>1248.33</v>
      </c>
      <c r="C224" s="14">
        <v>1262.44</v>
      </c>
      <c r="D224" s="14">
        <v>1268.02</v>
      </c>
      <c r="E224" s="14">
        <v>1247.6600000000001</v>
      </c>
      <c r="F224" s="23" t="s">
        <v>136</v>
      </c>
      <c r="G224" s="22">
        <f t="shared" si="3"/>
        <v>0.99670502505016723</v>
      </c>
    </row>
    <row r="225" spans="1:7" x14ac:dyDescent="0.35">
      <c r="A225" s="13">
        <v>44300</v>
      </c>
      <c r="B225" s="14">
        <v>1255.8699999999999</v>
      </c>
      <c r="C225" s="14">
        <v>1240.9000000000001</v>
      </c>
      <c r="D225" s="14">
        <v>1255.8699999999999</v>
      </c>
      <c r="E225" s="14">
        <v>1233.01</v>
      </c>
      <c r="F225" s="23" t="s">
        <v>312</v>
      </c>
      <c r="G225" s="22">
        <f t="shared" si="3"/>
        <v>1.0060219014339304</v>
      </c>
    </row>
    <row r="226" spans="1:7" x14ac:dyDescent="0.35">
      <c r="A226" s="13">
        <v>44301</v>
      </c>
      <c r="B226" s="14">
        <v>1247.25</v>
      </c>
      <c r="C226" s="14">
        <v>1262.25</v>
      </c>
      <c r="D226" s="14">
        <v>1265.8699999999999</v>
      </c>
      <c r="E226" s="14">
        <v>1247.25</v>
      </c>
      <c r="F226" s="23" t="s">
        <v>311</v>
      </c>
      <c r="G226" s="22">
        <f t="shared" si="3"/>
        <v>0.99311256825454042</v>
      </c>
    </row>
    <row r="227" spans="1:7" x14ac:dyDescent="0.35">
      <c r="A227" s="13">
        <v>44302</v>
      </c>
      <c r="B227" s="14">
        <v>1238.71</v>
      </c>
      <c r="C227" s="14">
        <v>1245.06</v>
      </c>
      <c r="D227" s="14">
        <v>1254.6099999999999</v>
      </c>
      <c r="E227" s="14">
        <v>1227.1400000000001</v>
      </c>
      <c r="F227" s="23" t="s">
        <v>310</v>
      </c>
      <c r="G227" s="22">
        <f t="shared" si="3"/>
        <v>0.993129387766158</v>
      </c>
    </row>
    <row r="228" spans="1:7" x14ac:dyDescent="0.35">
      <c r="A228" s="13">
        <v>44305</v>
      </c>
      <c r="B228" s="14">
        <v>1260.58</v>
      </c>
      <c r="C228" s="14">
        <v>1243.58</v>
      </c>
      <c r="D228" s="14">
        <v>1260.58</v>
      </c>
      <c r="E228" s="14">
        <v>1233.77</v>
      </c>
      <c r="F228" s="23" t="s">
        <v>309</v>
      </c>
      <c r="G228" s="22">
        <f t="shared" si="3"/>
        <v>1.0175014169849557</v>
      </c>
    </row>
    <row r="229" spans="1:7" x14ac:dyDescent="0.35">
      <c r="A229" s="13">
        <v>44306</v>
      </c>
      <c r="B229" s="14">
        <v>1268.28</v>
      </c>
      <c r="C229" s="14">
        <v>1267.74</v>
      </c>
      <c r="D229" s="14">
        <v>1286.32</v>
      </c>
      <c r="E229" s="14">
        <v>1261.28</v>
      </c>
      <c r="F229" s="23" t="s">
        <v>308</v>
      </c>
      <c r="G229" s="22">
        <f t="shared" si="3"/>
        <v>1.006089719316996</v>
      </c>
    </row>
    <row r="230" spans="1:7" x14ac:dyDescent="0.35">
      <c r="A230" s="13">
        <v>44308</v>
      </c>
      <c r="B230" s="14">
        <v>1227.82</v>
      </c>
      <c r="C230" s="14">
        <v>1264.31</v>
      </c>
      <c r="D230" s="14">
        <v>1271.98</v>
      </c>
      <c r="E230" s="14">
        <v>1227.82</v>
      </c>
      <c r="F230" s="23" t="s">
        <v>307</v>
      </c>
      <c r="G230" s="22">
        <f t="shared" si="3"/>
        <v>0.96757858734940172</v>
      </c>
    </row>
    <row r="231" spans="1:7" x14ac:dyDescent="0.35">
      <c r="A231" s="13">
        <v>44309</v>
      </c>
      <c r="B231" s="14">
        <v>1248.53</v>
      </c>
      <c r="C231" s="14">
        <v>1227.18</v>
      </c>
      <c r="D231" s="14">
        <v>1248.53</v>
      </c>
      <c r="E231" s="14">
        <v>1216.1500000000001</v>
      </c>
      <c r="F231" s="23" t="s">
        <v>306</v>
      </c>
      <c r="G231" s="22">
        <f t="shared" si="3"/>
        <v>1.0167266201070835</v>
      </c>
    </row>
    <row r="232" spans="1:7" x14ac:dyDescent="0.35">
      <c r="A232" s="13">
        <v>44312</v>
      </c>
      <c r="B232" s="14">
        <v>1215.77</v>
      </c>
      <c r="C232" s="14">
        <v>1251.25</v>
      </c>
      <c r="D232" s="14">
        <v>1251.25</v>
      </c>
      <c r="E232" s="14">
        <v>1214.1400000000001</v>
      </c>
      <c r="F232" s="23" t="s">
        <v>305</v>
      </c>
      <c r="G232" s="22">
        <f t="shared" si="3"/>
        <v>0.9734107616334069</v>
      </c>
    </row>
    <row r="233" spans="1:7" x14ac:dyDescent="0.35">
      <c r="A233" s="13">
        <v>44313</v>
      </c>
      <c r="B233" s="14">
        <v>1219.75</v>
      </c>
      <c r="C233" s="14">
        <v>1213.8399999999999</v>
      </c>
      <c r="D233" s="14">
        <v>1220.96</v>
      </c>
      <c r="E233" s="14">
        <v>1204.1400000000001</v>
      </c>
      <c r="F233" s="23" t="s">
        <v>304</v>
      </c>
      <c r="G233" s="22">
        <f t="shared" si="3"/>
        <v>1.003268298796798</v>
      </c>
    </row>
    <row r="234" spans="1:7" x14ac:dyDescent="0.35">
      <c r="A234" s="13">
        <v>44314</v>
      </c>
      <c r="B234" s="14">
        <v>1229.55</v>
      </c>
      <c r="C234" s="14">
        <v>1220.26</v>
      </c>
      <c r="D234" s="14">
        <v>1230.9100000000001</v>
      </c>
      <c r="E234" s="14">
        <v>1217.49</v>
      </c>
      <c r="F234" s="23" t="s">
        <v>303</v>
      </c>
      <c r="G234" s="22">
        <f t="shared" si="3"/>
        <v>1.0080023290712028</v>
      </c>
    </row>
    <row r="235" spans="1:7" x14ac:dyDescent="0.35">
      <c r="A235" s="13">
        <v>44315</v>
      </c>
      <c r="B235" s="14">
        <v>1239.3900000000001</v>
      </c>
      <c r="C235" s="14">
        <v>1234.9100000000001</v>
      </c>
      <c r="D235" s="14">
        <v>1239.3900000000001</v>
      </c>
      <c r="E235" s="14">
        <v>1231.25</v>
      </c>
      <c r="F235" s="23" t="s">
        <v>302</v>
      </c>
      <c r="G235" s="22">
        <f t="shared" si="3"/>
        <v>1.0079710743081045</v>
      </c>
    </row>
    <row r="236" spans="1:7" x14ac:dyDescent="0.35">
      <c r="A236" s="13">
        <v>44320</v>
      </c>
      <c r="B236" s="14">
        <v>1242.2</v>
      </c>
      <c r="C236" s="14">
        <v>1222.08</v>
      </c>
      <c r="D236" s="14">
        <v>1242.8</v>
      </c>
      <c r="E236" s="14">
        <v>1212.56</v>
      </c>
      <c r="F236" s="23" t="s">
        <v>301</v>
      </c>
      <c r="G236" s="22">
        <f t="shared" si="3"/>
        <v>1.0022646780499487</v>
      </c>
    </row>
    <row r="237" spans="1:7" x14ac:dyDescent="0.35">
      <c r="A237" s="13">
        <v>44321</v>
      </c>
      <c r="B237" s="14">
        <v>1256.43</v>
      </c>
      <c r="C237" s="14">
        <v>1244.69</v>
      </c>
      <c r="D237" s="14">
        <v>1265.93</v>
      </c>
      <c r="E237" s="14">
        <v>1244.69</v>
      </c>
      <c r="F237" s="23" t="s">
        <v>300</v>
      </c>
      <c r="G237" s="22">
        <f t="shared" si="3"/>
        <v>1.0113903650001608</v>
      </c>
    </row>
    <row r="238" spans="1:7" x14ac:dyDescent="0.35">
      <c r="A238" s="13">
        <v>44322</v>
      </c>
      <c r="B238" s="14">
        <v>1250.57</v>
      </c>
      <c r="C238" s="14">
        <v>1255.42</v>
      </c>
      <c r="D238" s="14">
        <v>1261.49</v>
      </c>
      <c r="E238" s="14">
        <v>1246.6400000000001</v>
      </c>
      <c r="F238" s="23" t="s">
        <v>299</v>
      </c>
      <c r="G238" s="22">
        <f t="shared" si="3"/>
        <v>0.99532508123457875</v>
      </c>
    </row>
    <row r="239" spans="1:7" x14ac:dyDescent="0.35">
      <c r="A239" s="13">
        <v>44323</v>
      </c>
      <c r="B239" s="14">
        <v>1241.81</v>
      </c>
      <c r="C239" s="14">
        <v>1245.48</v>
      </c>
      <c r="D239" s="14">
        <v>1250.5</v>
      </c>
      <c r="E239" s="14">
        <v>1231.92</v>
      </c>
      <c r="F239" s="23" t="s">
        <v>298</v>
      </c>
      <c r="G239" s="22">
        <f t="shared" si="3"/>
        <v>0.99297054536496843</v>
      </c>
    </row>
    <row r="240" spans="1:7" x14ac:dyDescent="0.35">
      <c r="A240" s="13">
        <v>44326</v>
      </c>
      <c r="B240" s="14">
        <v>1259.58</v>
      </c>
      <c r="C240" s="14">
        <v>1239.96</v>
      </c>
      <c r="D240" s="14">
        <v>1259.58</v>
      </c>
      <c r="E240" s="14">
        <v>1236.8499999999999</v>
      </c>
      <c r="F240" s="23" t="s">
        <v>297</v>
      </c>
      <c r="G240" s="22">
        <f t="shared" si="3"/>
        <v>1.0142083393193753</v>
      </c>
    </row>
    <row r="241" spans="1:7" x14ac:dyDescent="0.35">
      <c r="A241" s="13">
        <v>44327</v>
      </c>
      <c r="B241" s="14">
        <v>1256.04</v>
      </c>
      <c r="C241" s="14">
        <v>1265.1099999999999</v>
      </c>
      <c r="D241" s="14">
        <v>1272.55</v>
      </c>
      <c r="E241" s="14">
        <v>1256.04</v>
      </c>
      <c r="F241" s="23" t="s">
        <v>296</v>
      </c>
      <c r="G241" s="22">
        <f t="shared" si="3"/>
        <v>0.99718558261050683</v>
      </c>
    </row>
    <row r="242" spans="1:7" x14ac:dyDescent="0.35">
      <c r="A242" s="13">
        <v>44328</v>
      </c>
      <c r="B242" s="14">
        <v>1269.0899999999999</v>
      </c>
      <c r="C242" s="14">
        <v>1251.97</v>
      </c>
      <c r="D242" s="14">
        <v>1269.0899999999999</v>
      </c>
      <c r="E242" s="14">
        <v>1249.18</v>
      </c>
      <c r="F242" s="23" t="s">
        <v>295</v>
      </c>
      <c r="G242" s="22">
        <f t="shared" si="3"/>
        <v>1.0103361935305653</v>
      </c>
    </row>
    <row r="243" spans="1:7" x14ac:dyDescent="0.35">
      <c r="A243" s="13">
        <v>44329</v>
      </c>
      <c r="B243" s="14">
        <v>1261.99</v>
      </c>
      <c r="C243" s="14">
        <v>1262.98</v>
      </c>
      <c r="D243" s="14">
        <v>1273.49</v>
      </c>
      <c r="E243" s="14">
        <v>1261.99</v>
      </c>
      <c r="F243" s="23" t="s">
        <v>294</v>
      </c>
      <c r="G243" s="22">
        <f t="shared" si="3"/>
        <v>0.99438973195413649</v>
      </c>
    </row>
    <row r="244" spans="1:7" x14ac:dyDescent="0.35">
      <c r="A244" s="13">
        <v>44330</v>
      </c>
      <c r="B244" s="14">
        <v>1266.3599999999999</v>
      </c>
      <c r="C244" s="14">
        <v>1266.43</v>
      </c>
      <c r="D244" s="14">
        <v>1271.45</v>
      </c>
      <c r="E244" s="14">
        <v>1259.97</v>
      </c>
      <c r="F244" s="23" t="s">
        <v>293</v>
      </c>
      <c r="G244" s="22">
        <f t="shared" si="3"/>
        <v>1.0034568033315046</v>
      </c>
    </row>
    <row r="245" spans="1:7" x14ac:dyDescent="0.35">
      <c r="A245" s="13">
        <v>44333</v>
      </c>
      <c r="B245" s="14">
        <v>1258.7</v>
      </c>
      <c r="C245" s="14">
        <v>1272.55</v>
      </c>
      <c r="D245" s="14">
        <v>1277.83</v>
      </c>
      <c r="E245" s="14">
        <v>1258.5</v>
      </c>
      <c r="F245" s="23" t="s">
        <v>292</v>
      </c>
      <c r="G245" s="22">
        <f t="shared" si="3"/>
        <v>0.99393279882646024</v>
      </c>
    </row>
    <row r="246" spans="1:7" x14ac:dyDescent="0.35">
      <c r="A246" s="13">
        <v>44334</v>
      </c>
      <c r="B246" s="14">
        <v>1252.68</v>
      </c>
      <c r="C246" s="14">
        <v>1259.57</v>
      </c>
      <c r="D246" s="14">
        <v>1262.22</v>
      </c>
      <c r="E246" s="14">
        <v>1249.02</v>
      </c>
      <c r="F246" s="23" t="s">
        <v>291</v>
      </c>
      <c r="G246" s="22">
        <f t="shared" si="3"/>
        <v>0.99520581391074803</v>
      </c>
    </row>
    <row r="247" spans="1:7" x14ac:dyDescent="0.35">
      <c r="A247" s="13">
        <v>44335</v>
      </c>
      <c r="B247" s="14">
        <v>1262.49</v>
      </c>
      <c r="C247" s="14">
        <v>1254.78</v>
      </c>
      <c r="D247" s="14">
        <v>1262.71</v>
      </c>
      <c r="E247" s="14">
        <v>1250.58</v>
      </c>
      <c r="F247" s="23" t="s">
        <v>290</v>
      </c>
      <c r="G247" s="22">
        <f t="shared" si="3"/>
        <v>1.0078007051178586</v>
      </c>
    </row>
    <row r="248" spans="1:7" x14ac:dyDescent="0.35">
      <c r="A248" s="13">
        <v>44336</v>
      </c>
      <c r="B248" s="14">
        <v>1278.22</v>
      </c>
      <c r="C248" s="14">
        <v>1264.6199999999999</v>
      </c>
      <c r="D248" s="14">
        <v>1278.22</v>
      </c>
      <c r="E248" s="14">
        <v>1255.78</v>
      </c>
      <c r="F248" s="23" t="s">
        <v>289</v>
      </c>
      <c r="G248" s="22">
        <f t="shared" si="3"/>
        <v>1.0123825237713009</v>
      </c>
    </row>
    <row r="249" spans="1:7" x14ac:dyDescent="0.35">
      <c r="A249" s="13">
        <v>44337</v>
      </c>
      <c r="B249" s="14">
        <v>1283.93</v>
      </c>
      <c r="C249" s="14">
        <v>1272.8399999999999</v>
      </c>
      <c r="D249" s="14">
        <v>1289.03</v>
      </c>
      <c r="E249" s="14">
        <v>1268.46</v>
      </c>
      <c r="F249" s="23" t="s">
        <v>288</v>
      </c>
      <c r="G249" s="22">
        <f t="shared" si="3"/>
        <v>1.00445720153247</v>
      </c>
    </row>
    <row r="250" spans="1:7" x14ac:dyDescent="0.35">
      <c r="A250" s="13">
        <v>44340</v>
      </c>
      <c r="B250" s="14">
        <v>1297.98</v>
      </c>
      <c r="C250" s="14">
        <v>1287.5</v>
      </c>
      <c r="D250" s="14">
        <v>1299.83</v>
      </c>
      <c r="E250" s="14">
        <v>1287.3599999999999</v>
      </c>
      <c r="F250" s="23" t="s">
        <v>287</v>
      </c>
      <c r="G250" s="22">
        <f t="shared" si="3"/>
        <v>1.0108835231949955</v>
      </c>
    </row>
    <row r="251" spans="1:7" x14ac:dyDescent="0.35">
      <c r="A251" s="13">
        <v>44341</v>
      </c>
      <c r="B251" s="14">
        <v>1308.58</v>
      </c>
      <c r="C251" s="14">
        <v>1299.19</v>
      </c>
      <c r="D251" s="14">
        <v>1308.58</v>
      </c>
      <c r="E251" s="14">
        <v>1297.23</v>
      </c>
      <c r="F251" s="23" t="s">
        <v>286</v>
      </c>
      <c r="G251" s="22">
        <f t="shared" si="3"/>
        <v>1.0081333699849175</v>
      </c>
    </row>
    <row r="252" spans="1:7" x14ac:dyDescent="0.35">
      <c r="A252" s="13">
        <v>44342</v>
      </c>
      <c r="B252" s="14">
        <v>1316.7</v>
      </c>
      <c r="C252" s="14">
        <v>1308.04</v>
      </c>
      <c r="D252" s="14">
        <v>1317.3</v>
      </c>
      <c r="E252" s="14">
        <v>1304.68</v>
      </c>
      <c r="F252" s="23" t="s">
        <v>285</v>
      </c>
      <c r="G252" s="22">
        <f t="shared" si="3"/>
        <v>1.0061860265525475</v>
      </c>
    </row>
    <row r="253" spans="1:7" x14ac:dyDescent="0.35">
      <c r="A253" s="13">
        <v>44343</v>
      </c>
      <c r="B253" s="14">
        <v>1303.57</v>
      </c>
      <c r="C253" s="14">
        <v>1318.42</v>
      </c>
      <c r="D253" s="14">
        <v>1319.67</v>
      </c>
      <c r="E253" s="14">
        <v>1299.99</v>
      </c>
      <c r="F253" s="23" t="s">
        <v>284</v>
      </c>
      <c r="G253" s="22">
        <f t="shared" si="3"/>
        <v>0.98997804814206936</v>
      </c>
    </row>
    <row r="254" spans="1:7" x14ac:dyDescent="0.35">
      <c r="A254" s="13">
        <v>44344</v>
      </c>
      <c r="B254" s="14">
        <v>1320.46</v>
      </c>
      <c r="C254" s="14">
        <v>1307.79</v>
      </c>
      <c r="D254" s="14">
        <v>1323.09</v>
      </c>
      <c r="E254" s="14">
        <v>1300.06</v>
      </c>
      <c r="F254" s="23" t="s">
        <v>283</v>
      </c>
      <c r="G254" s="22">
        <f t="shared" si="3"/>
        <v>1.0128735062177923</v>
      </c>
    </row>
    <row r="255" spans="1:7" x14ac:dyDescent="0.35">
      <c r="A255" s="13">
        <v>44347</v>
      </c>
      <c r="B255" s="14">
        <v>1328.05</v>
      </c>
      <c r="C255" s="14">
        <v>1326.65</v>
      </c>
      <c r="D255" s="14">
        <v>1328.05</v>
      </c>
      <c r="E255" s="14">
        <v>1307.56</v>
      </c>
      <c r="F255" s="23" t="s">
        <v>282</v>
      </c>
      <c r="G255" s="22">
        <f t="shared" si="3"/>
        <v>1.005731540207863</v>
      </c>
    </row>
    <row r="256" spans="1:7" x14ac:dyDescent="0.35">
      <c r="A256" s="13">
        <v>44348</v>
      </c>
      <c r="B256" s="14">
        <v>1337.78</v>
      </c>
      <c r="C256" s="14">
        <v>1329.47</v>
      </c>
      <c r="D256" s="14">
        <v>1346.34</v>
      </c>
      <c r="E256" s="14">
        <v>1328.84</v>
      </c>
      <c r="F256" s="23" t="s">
        <v>281</v>
      </c>
      <c r="G256" s="22">
        <f t="shared" si="3"/>
        <v>1.0072998227247585</v>
      </c>
    </row>
    <row r="257" spans="1:7" x14ac:dyDescent="0.35">
      <c r="A257" s="13">
        <v>44349</v>
      </c>
      <c r="B257" s="14">
        <v>1340.78</v>
      </c>
      <c r="C257" s="14">
        <v>1337.78</v>
      </c>
      <c r="D257" s="14">
        <v>1344.98</v>
      </c>
      <c r="E257" s="14">
        <v>1330.82</v>
      </c>
      <c r="F257" s="23" t="s">
        <v>280</v>
      </c>
      <c r="G257" s="22">
        <f t="shared" si="3"/>
        <v>1.0022400104940055</v>
      </c>
    </row>
    <row r="258" spans="1:7" x14ac:dyDescent="0.35">
      <c r="A258" s="13">
        <v>44350</v>
      </c>
      <c r="B258" s="14">
        <v>1364.28</v>
      </c>
      <c r="C258" s="14">
        <v>1345.21</v>
      </c>
      <c r="D258" s="14">
        <v>1366</v>
      </c>
      <c r="E258" s="14">
        <v>1345.21</v>
      </c>
      <c r="F258" s="23" t="s">
        <v>279</v>
      </c>
      <c r="G258" s="22">
        <f t="shared" si="3"/>
        <v>1.0173752827802289</v>
      </c>
    </row>
    <row r="259" spans="1:7" x14ac:dyDescent="0.35">
      <c r="A259" s="13">
        <v>44351</v>
      </c>
      <c r="B259" s="14">
        <v>1374.05</v>
      </c>
      <c r="C259" s="14">
        <v>1367.06</v>
      </c>
      <c r="D259" s="14">
        <v>1374.05</v>
      </c>
      <c r="E259" s="14">
        <v>1360.42</v>
      </c>
      <c r="F259" s="23" t="s">
        <v>278</v>
      </c>
      <c r="G259" s="22">
        <f t="shared" si="3"/>
        <v>1.0071357662930676</v>
      </c>
    </row>
    <row r="260" spans="1:7" x14ac:dyDescent="0.35">
      <c r="A260" s="13">
        <v>44354</v>
      </c>
      <c r="B260" s="14">
        <v>1358.78</v>
      </c>
      <c r="C260" s="14">
        <v>1374.59</v>
      </c>
      <c r="D260" s="14">
        <v>1375.74</v>
      </c>
      <c r="E260" s="14">
        <v>1347.21</v>
      </c>
      <c r="F260" s="23" t="s">
        <v>277</v>
      </c>
      <c r="G260" s="22">
        <f t="shared" ref="G260:G323" si="4">LN(B260/B259)+1</f>
        <v>0.98882465508643125</v>
      </c>
    </row>
    <row r="261" spans="1:7" x14ac:dyDescent="0.35">
      <c r="A261" s="13">
        <v>44355</v>
      </c>
      <c r="B261" s="14">
        <v>1319.88</v>
      </c>
      <c r="C261" s="14">
        <v>1355.36</v>
      </c>
      <c r="D261" s="14">
        <v>1364.48</v>
      </c>
      <c r="E261" s="14">
        <v>1318.11</v>
      </c>
      <c r="F261" s="23" t="s">
        <v>276</v>
      </c>
      <c r="G261" s="22">
        <f t="shared" si="4"/>
        <v>0.97095358504851126</v>
      </c>
    </row>
    <row r="262" spans="1:7" x14ac:dyDescent="0.35">
      <c r="A262" s="13">
        <v>44356</v>
      </c>
      <c r="B262" s="14">
        <v>1332.9</v>
      </c>
      <c r="C262" s="14">
        <v>1323.52</v>
      </c>
      <c r="D262" s="14">
        <v>1339.14</v>
      </c>
      <c r="E262" s="14">
        <v>1312.08</v>
      </c>
      <c r="F262" s="23" t="s">
        <v>275</v>
      </c>
      <c r="G262" s="22">
        <f t="shared" si="4"/>
        <v>1.0098161962529468</v>
      </c>
    </row>
    <row r="263" spans="1:7" x14ac:dyDescent="0.35">
      <c r="A263" s="13">
        <v>44357</v>
      </c>
      <c r="B263" s="14">
        <v>1323.58</v>
      </c>
      <c r="C263" s="14">
        <v>1332.9</v>
      </c>
      <c r="D263" s="14">
        <v>1336.71</v>
      </c>
      <c r="E263" s="14">
        <v>1317.49</v>
      </c>
      <c r="F263" s="23" t="s">
        <v>274</v>
      </c>
      <c r="G263" s="22">
        <f t="shared" si="4"/>
        <v>0.99298316701809453</v>
      </c>
    </row>
    <row r="264" spans="1:7" x14ac:dyDescent="0.35">
      <c r="A264" s="13">
        <v>44358</v>
      </c>
      <c r="B264" s="14">
        <v>1351.74</v>
      </c>
      <c r="C264" s="14">
        <v>1326.79</v>
      </c>
      <c r="D264" s="14">
        <v>1352.47</v>
      </c>
      <c r="E264" s="14">
        <v>1322.08</v>
      </c>
      <c r="F264" s="23" t="s">
        <v>273</v>
      </c>
      <c r="G264" s="22">
        <f t="shared" si="4"/>
        <v>1.0210524647890393</v>
      </c>
    </row>
    <row r="265" spans="1:7" x14ac:dyDescent="0.35">
      <c r="A265" s="13">
        <v>44361</v>
      </c>
      <c r="B265" s="14">
        <v>1361.72</v>
      </c>
      <c r="C265" s="14">
        <v>1352.73</v>
      </c>
      <c r="D265" s="14">
        <v>1368.53</v>
      </c>
      <c r="E265" s="14">
        <v>1352.73</v>
      </c>
      <c r="F265" s="23" t="s">
        <v>272</v>
      </c>
      <c r="G265" s="22">
        <f t="shared" si="4"/>
        <v>1.0073559551285118</v>
      </c>
    </row>
    <row r="266" spans="1:7" x14ac:dyDescent="0.35">
      <c r="A266" s="13">
        <v>44362</v>
      </c>
      <c r="B266" s="14">
        <v>1367.36</v>
      </c>
      <c r="C266" s="14">
        <v>1361.58</v>
      </c>
      <c r="D266" s="14">
        <v>1372.72</v>
      </c>
      <c r="E266" s="14">
        <v>1356.59</v>
      </c>
      <c r="F266" s="23" t="s">
        <v>271</v>
      </c>
      <c r="G266" s="22">
        <f t="shared" si="4"/>
        <v>1.0041332669100418</v>
      </c>
    </row>
    <row r="267" spans="1:7" x14ac:dyDescent="0.35">
      <c r="A267" s="13">
        <v>44363</v>
      </c>
      <c r="B267" s="14">
        <v>1356.52</v>
      </c>
      <c r="C267" s="14">
        <v>1363.85</v>
      </c>
      <c r="D267" s="14">
        <v>1370.14</v>
      </c>
      <c r="E267" s="14">
        <v>1350.73</v>
      </c>
      <c r="F267" s="23" t="s">
        <v>270</v>
      </c>
      <c r="G267" s="22">
        <f t="shared" si="4"/>
        <v>0.99204072336066007</v>
      </c>
    </row>
    <row r="268" spans="1:7" x14ac:dyDescent="0.35">
      <c r="A268" s="13">
        <v>44364</v>
      </c>
      <c r="B268" s="14">
        <v>1359.92</v>
      </c>
      <c r="C268" s="14">
        <v>1341.06</v>
      </c>
      <c r="D268" s="14">
        <v>1364.55</v>
      </c>
      <c r="E268" s="14">
        <v>1337.49</v>
      </c>
      <c r="F268" s="23" t="s">
        <v>269</v>
      </c>
      <c r="G268" s="22">
        <f t="shared" si="4"/>
        <v>1.0025032776541942</v>
      </c>
    </row>
    <row r="269" spans="1:7" x14ac:dyDescent="0.35">
      <c r="A269" s="13">
        <v>44365</v>
      </c>
      <c r="B269" s="14">
        <v>1377.77</v>
      </c>
      <c r="C269" s="14">
        <v>1366.19</v>
      </c>
      <c r="D269" s="14">
        <v>1377.77</v>
      </c>
      <c r="E269" s="14">
        <v>1363.52</v>
      </c>
      <c r="F269" s="23" t="s">
        <v>268</v>
      </c>
      <c r="G269" s="22">
        <f t="shared" si="4"/>
        <v>1.0130403756091702</v>
      </c>
    </row>
    <row r="270" spans="1:7" x14ac:dyDescent="0.35">
      <c r="A270" s="13">
        <v>44368</v>
      </c>
      <c r="B270" s="14">
        <v>1372.63</v>
      </c>
      <c r="C270" s="14">
        <v>1373.59</v>
      </c>
      <c r="D270" s="14">
        <v>1381.74</v>
      </c>
      <c r="E270" s="14">
        <v>1367.85</v>
      </c>
      <c r="F270" s="23" t="s">
        <v>267</v>
      </c>
      <c r="G270" s="22">
        <f t="shared" si="4"/>
        <v>0.99626235748705427</v>
      </c>
    </row>
    <row r="271" spans="1:7" x14ac:dyDescent="0.35">
      <c r="A271" s="13">
        <v>44369</v>
      </c>
      <c r="B271" s="14">
        <v>1379.97</v>
      </c>
      <c r="C271" s="14">
        <v>1380.84</v>
      </c>
      <c r="D271" s="14">
        <v>1385.98</v>
      </c>
      <c r="E271" s="14">
        <v>1375</v>
      </c>
      <c r="F271" s="23" t="s">
        <v>266</v>
      </c>
      <c r="G271" s="22">
        <f t="shared" si="4"/>
        <v>1.0053331522177784</v>
      </c>
    </row>
    <row r="272" spans="1:7" x14ac:dyDescent="0.35">
      <c r="A272" s="13">
        <v>44370</v>
      </c>
      <c r="B272" s="14">
        <v>1376.87</v>
      </c>
      <c r="C272" s="14">
        <v>1383.15</v>
      </c>
      <c r="D272" s="14">
        <v>1388.33</v>
      </c>
      <c r="E272" s="14">
        <v>1372.06</v>
      </c>
      <c r="F272" s="23" t="s">
        <v>265</v>
      </c>
      <c r="G272" s="22">
        <f t="shared" si="4"/>
        <v>0.99775104735378528</v>
      </c>
    </row>
    <row r="273" spans="1:7" x14ac:dyDescent="0.35">
      <c r="A273" s="13">
        <v>44371</v>
      </c>
      <c r="B273" s="14">
        <v>1379.72</v>
      </c>
      <c r="C273" s="14">
        <v>1376.87</v>
      </c>
      <c r="D273" s="14">
        <v>1384.71</v>
      </c>
      <c r="E273" s="14">
        <v>1372.99</v>
      </c>
      <c r="F273" s="23" t="s">
        <v>264</v>
      </c>
      <c r="G273" s="22">
        <f t="shared" si="4"/>
        <v>1.0020677728755276</v>
      </c>
    </row>
    <row r="274" spans="1:7" x14ac:dyDescent="0.35">
      <c r="A274" s="13">
        <v>44372</v>
      </c>
      <c r="B274" s="14">
        <v>1390.12</v>
      </c>
      <c r="C274" s="14">
        <v>1382.11</v>
      </c>
      <c r="D274" s="14">
        <v>1390.12</v>
      </c>
      <c r="E274" s="14">
        <v>1372.8</v>
      </c>
      <c r="F274" s="23" t="s">
        <v>263</v>
      </c>
      <c r="G274" s="22">
        <f t="shared" si="4"/>
        <v>1.0075094943198584</v>
      </c>
    </row>
    <row r="275" spans="1:7" x14ac:dyDescent="0.35">
      <c r="A275" s="13">
        <v>44375</v>
      </c>
      <c r="B275" s="14">
        <v>1405.81</v>
      </c>
      <c r="C275" s="14">
        <v>1397.96</v>
      </c>
      <c r="D275" s="14">
        <v>1406.02</v>
      </c>
      <c r="E275" s="14">
        <v>1390.56</v>
      </c>
      <c r="F275" s="23" t="s">
        <v>262</v>
      </c>
      <c r="G275" s="22">
        <f t="shared" si="4"/>
        <v>1.0112235747702116</v>
      </c>
    </row>
    <row r="276" spans="1:7" x14ac:dyDescent="0.35">
      <c r="A276" s="13">
        <v>44376</v>
      </c>
      <c r="B276" s="14">
        <v>1410.04</v>
      </c>
      <c r="C276" s="14">
        <v>1408.34</v>
      </c>
      <c r="D276" s="14">
        <v>1416.34</v>
      </c>
      <c r="E276" s="14">
        <v>1406.87</v>
      </c>
      <c r="F276" s="23" t="s">
        <v>261</v>
      </c>
      <c r="G276" s="22">
        <f t="shared" si="4"/>
        <v>1.0030044236602536</v>
      </c>
    </row>
    <row r="277" spans="1:7" x14ac:dyDescent="0.35">
      <c r="A277" s="13">
        <v>44377</v>
      </c>
      <c r="B277" s="14">
        <v>1408.55</v>
      </c>
      <c r="C277" s="14">
        <v>1410.83</v>
      </c>
      <c r="D277" s="14">
        <v>1419.61</v>
      </c>
      <c r="E277" s="14">
        <v>1408.18</v>
      </c>
      <c r="F277" s="23" t="s">
        <v>260</v>
      </c>
      <c r="G277" s="22">
        <f t="shared" si="4"/>
        <v>0.99894273367975117</v>
      </c>
    </row>
    <row r="278" spans="1:7" x14ac:dyDescent="0.35">
      <c r="A278" s="13">
        <v>44378</v>
      </c>
      <c r="B278" s="14">
        <v>1417.08</v>
      </c>
      <c r="C278" s="14">
        <v>1412.15</v>
      </c>
      <c r="D278" s="14">
        <v>1417.27</v>
      </c>
      <c r="E278" s="14">
        <v>1402.18</v>
      </c>
      <c r="F278" s="23" t="s">
        <v>259</v>
      </c>
      <c r="G278" s="22">
        <f t="shared" si="4"/>
        <v>1.0060376099572859</v>
      </c>
    </row>
    <row r="279" spans="1:7" x14ac:dyDescent="0.35">
      <c r="A279" s="13">
        <v>44379</v>
      </c>
      <c r="B279" s="14">
        <v>1420.27</v>
      </c>
      <c r="C279" s="14">
        <v>1422.89</v>
      </c>
      <c r="D279" s="14">
        <v>1424.28</v>
      </c>
      <c r="E279" s="14">
        <v>1415.82</v>
      </c>
      <c r="F279" s="23" t="s">
        <v>258</v>
      </c>
      <c r="G279" s="22">
        <f t="shared" si="4"/>
        <v>1.0022485779647068</v>
      </c>
    </row>
    <row r="280" spans="1:7" x14ac:dyDescent="0.35">
      <c r="A280" s="13">
        <v>44382</v>
      </c>
      <c r="B280" s="14">
        <v>1411.13</v>
      </c>
      <c r="C280" s="14">
        <v>1420.27</v>
      </c>
      <c r="D280" s="14">
        <v>1420.27</v>
      </c>
      <c r="E280" s="14">
        <v>1399.34</v>
      </c>
      <c r="F280" s="23" t="s">
        <v>257</v>
      </c>
      <c r="G280" s="22">
        <f t="shared" si="4"/>
        <v>0.9935438074817482</v>
      </c>
    </row>
    <row r="281" spans="1:7" x14ac:dyDescent="0.35">
      <c r="A281" s="13">
        <v>44383</v>
      </c>
      <c r="B281" s="14">
        <v>1354.79</v>
      </c>
      <c r="C281" s="14">
        <v>1417.1</v>
      </c>
      <c r="D281" s="14">
        <v>1417.95</v>
      </c>
      <c r="E281" s="14">
        <v>1354.79</v>
      </c>
      <c r="F281" s="23" t="s">
        <v>256</v>
      </c>
      <c r="G281" s="22">
        <f t="shared" si="4"/>
        <v>0.95925565890545872</v>
      </c>
    </row>
    <row r="282" spans="1:7" x14ac:dyDescent="0.35">
      <c r="A282" s="13">
        <v>44384</v>
      </c>
      <c r="B282" s="14">
        <v>1388.55</v>
      </c>
      <c r="C282" s="14">
        <v>1354.79</v>
      </c>
      <c r="D282" s="14">
        <v>1388.55</v>
      </c>
      <c r="E282" s="14">
        <v>1334.58</v>
      </c>
      <c r="F282" s="23" t="s">
        <v>255</v>
      </c>
      <c r="G282" s="22">
        <f t="shared" si="4"/>
        <v>1.0246135764282256</v>
      </c>
    </row>
    <row r="283" spans="1:7" x14ac:dyDescent="0.35">
      <c r="A283" s="13">
        <v>44385</v>
      </c>
      <c r="B283" s="14">
        <v>1374.68</v>
      </c>
      <c r="C283" s="14">
        <v>1388.55</v>
      </c>
      <c r="D283" s="14">
        <v>1388.55</v>
      </c>
      <c r="E283" s="14">
        <v>1363.92</v>
      </c>
      <c r="F283" s="23" t="s">
        <v>254</v>
      </c>
      <c r="G283" s="22">
        <f t="shared" si="4"/>
        <v>0.98996093956142039</v>
      </c>
    </row>
    <row r="284" spans="1:7" x14ac:dyDescent="0.35">
      <c r="A284" s="13">
        <v>44386</v>
      </c>
      <c r="B284" s="14">
        <v>1347.14</v>
      </c>
      <c r="C284" s="14">
        <v>1374.68</v>
      </c>
      <c r="D284" s="14">
        <v>1374.68</v>
      </c>
      <c r="E284" s="14">
        <v>1335.9</v>
      </c>
      <c r="F284" s="23" t="s">
        <v>253</v>
      </c>
      <c r="G284" s="22">
        <f t="shared" si="4"/>
        <v>0.97976284993641649</v>
      </c>
    </row>
    <row r="285" spans="1:7" x14ac:dyDescent="0.35">
      <c r="A285" s="13">
        <v>44389</v>
      </c>
      <c r="B285" s="14">
        <v>1296.3</v>
      </c>
      <c r="C285" s="14">
        <v>1347.14</v>
      </c>
      <c r="D285" s="14">
        <v>1347.14</v>
      </c>
      <c r="E285" s="14">
        <v>1270.06</v>
      </c>
      <c r="F285" s="23" t="s">
        <v>252</v>
      </c>
      <c r="G285" s="22">
        <f t="shared" si="4"/>
        <v>0.96153022592683035</v>
      </c>
    </row>
    <row r="286" spans="1:7" x14ac:dyDescent="0.35">
      <c r="A286" s="13">
        <v>44390</v>
      </c>
      <c r="B286" s="14">
        <v>1297.54</v>
      </c>
      <c r="C286" s="14">
        <v>1296.3</v>
      </c>
      <c r="D286" s="14">
        <v>1307.73</v>
      </c>
      <c r="E286" s="14">
        <v>1278.3</v>
      </c>
      <c r="F286" s="23" t="s">
        <v>251</v>
      </c>
      <c r="G286" s="22">
        <f t="shared" si="4"/>
        <v>1.0009561114752352</v>
      </c>
    </row>
    <row r="287" spans="1:7" x14ac:dyDescent="0.35">
      <c r="A287" s="13">
        <v>44391</v>
      </c>
      <c r="B287" s="14">
        <v>1279.9100000000001</v>
      </c>
      <c r="C287" s="14">
        <v>1297.54</v>
      </c>
      <c r="D287" s="14">
        <v>1305.3699999999999</v>
      </c>
      <c r="E287" s="14">
        <v>1264.68</v>
      </c>
      <c r="F287" s="23" t="s">
        <v>250</v>
      </c>
      <c r="G287" s="22">
        <f t="shared" si="4"/>
        <v>0.98631959886039078</v>
      </c>
    </row>
    <row r="288" spans="1:7" x14ac:dyDescent="0.35">
      <c r="A288" s="13">
        <v>44392</v>
      </c>
      <c r="B288" s="14">
        <v>1293.92</v>
      </c>
      <c r="C288" s="14">
        <v>1279.9100000000001</v>
      </c>
      <c r="D288" s="14">
        <v>1299.18</v>
      </c>
      <c r="E288" s="14">
        <v>1270.77</v>
      </c>
      <c r="F288" s="23" t="s">
        <v>249</v>
      </c>
      <c r="G288" s="22">
        <f t="shared" si="4"/>
        <v>1.0108866074058889</v>
      </c>
    </row>
    <row r="289" spans="1:7" x14ac:dyDescent="0.35">
      <c r="A289" s="13">
        <v>44393</v>
      </c>
      <c r="B289" s="14">
        <v>1299.31</v>
      </c>
      <c r="C289" s="14">
        <v>1293.92</v>
      </c>
      <c r="D289" s="14">
        <v>1304.3699999999999</v>
      </c>
      <c r="E289" s="14">
        <v>1293.92</v>
      </c>
      <c r="F289" s="23" t="s">
        <v>248</v>
      </c>
      <c r="G289" s="22">
        <f t="shared" si="4"/>
        <v>1.0041569839634965</v>
      </c>
    </row>
    <row r="290" spans="1:7" x14ac:dyDescent="0.35">
      <c r="A290" s="13">
        <v>44396</v>
      </c>
      <c r="B290" s="14">
        <v>1243.51</v>
      </c>
      <c r="C290" s="14">
        <v>1299.31</v>
      </c>
      <c r="D290" s="14">
        <v>1299.31</v>
      </c>
      <c r="E290" s="14">
        <v>1237.79</v>
      </c>
      <c r="F290" s="23" t="s">
        <v>247</v>
      </c>
      <c r="G290" s="22">
        <f t="shared" si="4"/>
        <v>0.95610467171756619</v>
      </c>
    </row>
    <row r="291" spans="1:7" x14ac:dyDescent="0.35">
      <c r="A291" s="13">
        <v>44397</v>
      </c>
      <c r="B291" s="14">
        <v>1273.29</v>
      </c>
      <c r="C291" s="14">
        <v>1243.51</v>
      </c>
      <c r="D291" s="14">
        <v>1273.29</v>
      </c>
      <c r="E291" s="14">
        <v>1225.52</v>
      </c>
      <c r="F291" s="23" t="s">
        <v>246</v>
      </c>
      <c r="G291" s="22">
        <f t="shared" si="4"/>
        <v>1.0236660759112421</v>
      </c>
    </row>
    <row r="292" spans="1:7" x14ac:dyDescent="0.35">
      <c r="A292" s="13">
        <v>44398</v>
      </c>
      <c r="B292" s="14">
        <v>1270.79</v>
      </c>
      <c r="C292" s="14">
        <v>1273.29</v>
      </c>
      <c r="D292" s="14">
        <v>1284.33</v>
      </c>
      <c r="E292" s="14">
        <v>1266.71</v>
      </c>
      <c r="F292" s="23" t="s">
        <v>245</v>
      </c>
      <c r="G292" s="22">
        <f t="shared" si="4"/>
        <v>0.99803465236572242</v>
      </c>
    </row>
    <row r="293" spans="1:7" x14ac:dyDescent="0.35">
      <c r="A293" s="13">
        <v>44399</v>
      </c>
      <c r="B293" s="14">
        <v>1293.67</v>
      </c>
      <c r="C293" s="14">
        <v>1270.79</v>
      </c>
      <c r="D293" s="14">
        <v>1294.1600000000001</v>
      </c>
      <c r="E293" s="14">
        <v>1266.54</v>
      </c>
      <c r="F293" s="23" t="s">
        <v>244</v>
      </c>
      <c r="G293" s="22">
        <f t="shared" si="4"/>
        <v>1.0178443860474389</v>
      </c>
    </row>
    <row r="294" spans="1:7" x14ac:dyDescent="0.35">
      <c r="A294" s="13">
        <v>44400</v>
      </c>
      <c r="B294" s="14">
        <v>1268.83</v>
      </c>
      <c r="C294" s="14">
        <v>1293.67</v>
      </c>
      <c r="D294" s="14">
        <v>1295.6300000000001</v>
      </c>
      <c r="E294" s="14">
        <v>1268.83</v>
      </c>
      <c r="F294" s="23" t="s">
        <v>243</v>
      </c>
      <c r="G294" s="22">
        <f t="shared" si="4"/>
        <v>0.98061207563647956</v>
      </c>
    </row>
    <row r="295" spans="1:7" x14ac:dyDescent="0.35">
      <c r="A295" s="13">
        <v>44403</v>
      </c>
      <c r="B295" s="14">
        <v>1272.71</v>
      </c>
      <c r="C295" s="14">
        <v>1268.83</v>
      </c>
      <c r="D295" s="14">
        <v>1277.33</v>
      </c>
      <c r="E295" s="14">
        <v>1254.57</v>
      </c>
      <c r="F295" s="23" t="s">
        <v>242</v>
      </c>
      <c r="G295" s="22">
        <f t="shared" si="4"/>
        <v>1.0030532692889034</v>
      </c>
    </row>
    <row r="296" spans="1:7" x14ac:dyDescent="0.35">
      <c r="A296" s="13">
        <v>44404</v>
      </c>
      <c r="B296" s="14">
        <v>1276.93</v>
      </c>
      <c r="C296" s="14">
        <v>1272.71</v>
      </c>
      <c r="D296" s="14">
        <v>1288.3499999999999</v>
      </c>
      <c r="E296" s="14">
        <v>1272.71</v>
      </c>
      <c r="F296" s="23" t="s">
        <v>241</v>
      </c>
      <c r="G296" s="22">
        <f t="shared" si="4"/>
        <v>1.0033102742767865</v>
      </c>
    </row>
    <row r="297" spans="1:7" x14ac:dyDescent="0.35">
      <c r="A297" s="13">
        <v>44405</v>
      </c>
      <c r="B297" s="14">
        <v>1277.07</v>
      </c>
      <c r="C297" s="14">
        <v>1276.93</v>
      </c>
      <c r="D297" s="14">
        <v>1281.17</v>
      </c>
      <c r="E297" s="14">
        <v>1271.78</v>
      </c>
      <c r="F297" s="23" t="s">
        <v>240</v>
      </c>
      <c r="G297" s="22">
        <f t="shared" si="4"/>
        <v>1.0001096319499923</v>
      </c>
    </row>
    <row r="298" spans="1:7" x14ac:dyDescent="0.35">
      <c r="A298" s="13">
        <v>44406</v>
      </c>
      <c r="B298" s="14">
        <v>1293.5999999999999</v>
      </c>
      <c r="C298" s="14">
        <v>1277.07</v>
      </c>
      <c r="D298" s="14">
        <v>1293.5999999999999</v>
      </c>
      <c r="E298" s="14">
        <v>1277.07</v>
      </c>
      <c r="F298" s="23" t="s">
        <v>239</v>
      </c>
      <c r="G298" s="22">
        <f t="shared" si="4"/>
        <v>1.0128606377577571</v>
      </c>
    </row>
    <row r="299" spans="1:7" x14ac:dyDescent="0.35">
      <c r="A299" s="13">
        <v>44407</v>
      </c>
      <c r="B299" s="14">
        <v>1310.05</v>
      </c>
      <c r="C299" s="14">
        <v>1293.5999999999999</v>
      </c>
      <c r="D299" s="14">
        <v>1311.97</v>
      </c>
      <c r="E299" s="14">
        <v>1293.5999999999999</v>
      </c>
      <c r="F299" s="23" t="s">
        <v>238</v>
      </c>
      <c r="G299" s="22">
        <f t="shared" si="4"/>
        <v>1.0126362751428544</v>
      </c>
    </row>
    <row r="300" spans="1:7" x14ac:dyDescent="0.35">
      <c r="A300" s="13">
        <v>44410</v>
      </c>
      <c r="B300" s="14">
        <v>1314.22</v>
      </c>
      <c r="C300" s="14">
        <v>1310.05</v>
      </c>
      <c r="D300" s="14">
        <v>1322.35</v>
      </c>
      <c r="E300" s="14">
        <v>1304.49</v>
      </c>
      <c r="F300" s="23" t="s">
        <v>237</v>
      </c>
      <c r="G300" s="22">
        <f t="shared" si="4"/>
        <v>1.0031780293260255</v>
      </c>
    </row>
    <row r="301" spans="1:7" x14ac:dyDescent="0.35">
      <c r="A301" s="13">
        <v>44411</v>
      </c>
      <c r="B301" s="14">
        <v>1332.44</v>
      </c>
      <c r="C301" s="14">
        <v>1314.22</v>
      </c>
      <c r="D301" s="14">
        <v>1332.44</v>
      </c>
      <c r="E301" s="14">
        <v>1314.22</v>
      </c>
      <c r="F301" s="23" t="s">
        <v>236</v>
      </c>
      <c r="G301" s="22">
        <f t="shared" si="4"/>
        <v>1.0137685141518367</v>
      </c>
    </row>
    <row r="302" spans="1:7" x14ac:dyDescent="0.35">
      <c r="A302" s="13">
        <v>44412</v>
      </c>
      <c r="B302" s="14">
        <v>1334.74</v>
      </c>
      <c r="C302" s="14">
        <v>1332.44</v>
      </c>
      <c r="D302" s="14">
        <v>1340.76</v>
      </c>
      <c r="E302" s="14">
        <v>1328.4</v>
      </c>
      <c r="F302" s="23" t="s">
        <v>235</v>
      </c>
      <c r="G302" s="22">
        <f t="shared" si="4"/>
        <v>1.0017246684289089</v>
      </c>
    </row>
    <row r="303" spans="1:7" x14ac:dyDescent="0.35">
      <c r="A303" s="13">
        <v>44413</v>
      </c>
      <c r="B303" s="14">
        <v>1345.55</v>
      </c>
      <c r="C303" s="14">
        <v>1334.74</v>
      </c>
      <c r="D303" s="14">
        <v>1346.62</v>
      </c>
      <c r="E303" s="14">
        <v>1326.8</v>
      </c>
      <c r="F303" s="23" t="s">
        <v>234</v>
      </c>
      <c r="G303" s="22">
        <f t="shared" si="4"/>
        <v>1.0080663350707149</v>
      </c>
    </row>
    <row r="304" spans="1:7" x14ac:dyDescent="0.35">
      <c r="A304" s="13">
        <v>44414</v>
      </c>
      <c r="B304" s="14">
        <v>1341.45</v>
      </c>
      <c r="C304" s="14">
        <v>1345.55</v>
      </c>
      <c r="D304" s="14">
        <v>1351.85</v>
      </c>
      <c r="E304" s="14">
        <v>1341.45</v>
      </c>
      <c r="F304" s="23" t="s">
        <v>233</v>
      </c>
      <c r="G304" s="22">
        <f t="shared" si="4"/>
        <v>0.99694826707706263</v>
      </c>
    </row>
    <row r="305" spans="1:7" x14ac:dyDescent="0.35">
      <c r="A305" s="13">
        <v>44417</v>
      </c>
      <c r="B305" s="14">
        <v>1359.86</v>
      </c>
      <c r="C305" s="14">
        <v>1341.45</v>
      </c>
      <c r="D305" s="14">
        <v>1361.12</v>
      </c>
      <c r="E305" s="14">
        <v>1334.69</v>
      </c>
      <c r="F305" s="23" t="s">
        <v>232</v>
      </c>
      <c r="G305" s="22">
        <f t="shared" si="4"/>
        <v>1.0136306347945208</v>
      </c>
    </row>
    <row r="306" spans="1:7" x14ac:dyDescent="0.35">
      <c r="A306" s="13">
        <v>44418</v>
      </c>
      <c r="B306" s="14">
        <v>1362.43</v>
      </c>
      <c r="C306" s="14">
        <v>1359.86</v>
      </c>
      <c r="D306" s="14">
        <v>1370.35</v>
      </c>
      <c r="E306" s="14">
        <v>1358.12</v>
      </c>
      <c r="F306" s="23" t="s">
        <v>231</v>
      </c>
      <c r="G306" s="22">
        <f t="shared" si="4"/>
        <v>1.0018881168159901</v>
      </c>
    </row>
    <row r="307" spans="1:7" x14ac:dyDescent="0.35">
      <c r="A307" s="13">
        <v>44419</v>
      </c>
      <c r="B307" s="14">
        <v>1357.79</v>
      </c>
      <c r="C307" s="14">
        <v>1362.43</v>
      </c>
      <c r="D307" s="14">
        <v>1374.03</v>
      </c>
      <c r="E307" s="14">
        <v>1357.79</v>
      </c>
      <c r="F307" s="23" t="s">
        <v>230</v>
      </c>
      <c r="G307" s="22">
        <f t="shared" si="4"/>
        <v>0.99658850791470288</v>
      </c>
    </row>
    <row r="308" spans="1:7" x14ac:dyDescent="0.35">
      <c r="A308" s="13">
        <v>44420</v>
      </c>
      <c r="B308" s="14">
        <v>1353.05</v>
      </c>
      <c r="C308" s="14">
        <v>1357.79</v>
      </c>
      <c r="D308" s="14">
        <v>1365.01</v>
      </c>
      <c r="E308" s="14">
        <v>1353.05</v>
      </c>
      <c r="F308" s="23" t="s">
        <v>229</v>
      </c>
      <c r="G308" s="22">
        <f t="shared" si="4"/>
        <v>0.99650292541746199</v>
      </c>
    </row>
    <row r="309" spans="1:7" x14ac:dyDescent="0.35">
      <c r="A309" s="13">
        <v>44421</v>
      </c>
      <c r="B309" s="14">
        <v>1357.05</v>
      </c>
      <c r="C309" s="14">
        <v>1353.05</v>
      </c>
      <c r="D309" s="14">
        <v>1357.41</v>
      </c>
      <c r="E309" s="14">
        <v>1336.74</v>
      </c>
      <c r="F309" s="23" t="s">
        <v>228</v>
      </c>
      <c r="G309" s="22">
        <f t="shared" si="4"/>
        <v>1.0029519227368846</v>
      </c>
    </row>
    <row r="310" spans="1:7" x14ac:dyDescent="0.35">
      <c r="A310" s="13">
        <v>44424</v>
      </c>
      <c r="B310" s="14">
        <v>1370.96</v>
      </c>
      <c r="C310" s="14">
        <v>1357.05</v>
      </c>
      <c r="D310" s="14">
        <v>1372.33</v>
      </c>
      <c r="E310" s="14">
        <v>1357.05</v>
      </c>
      <c r="F310" s="23" t="s">
        <v>227</v>
      </c>
      <c r="G310" s="22">
        <f t="shared" si="4"/>
        <v>1.0101979982127334</v>
      </c>
    </row>
    <row r="311" spans="1:7" x14ac:dyDescent="0.35">
      <c r="A311" s="13">
        <v>44425</v>
      </c>
      <c r="B311" s="14">
        <v>1363.09</v>
      </c>
      <c r="C311" s="14">
        <v>1370.96</v>
      </c>
      <c r="D311" s="14">
        <v>1379.7</v>
      </c>
      <c r="E311" s="14">
        <v>1359.11</v>
      </c>
      <c r="F311" s="23" t="s">
        <v>226</v>
      </c>
      <c r="G311" s="22">
        <f t="shared" si="4"/>
        <v>0.9942429569783805</v>
      </c>
    </row>
    <row r="312" spans="1:7" x14ac:dyDescent="0.35">
      <c r="A312" s="13">
        <v>44426</v>
      </c>
      <c r="B312" s="14">
        <v>1360.94</v>
      </c>
      <c r="C312" s="14">
        <v>1363.09</v>
      </c>
      <c r="D312" s="14">
        <v>1370.5</v>
      </c>
      <c r="E312" s="14">
        <v>1355.83</v>
      </c>
      <c r="F312" s="23" t="s">
        <v>225</v>
      </c>
      <c r="G312" s="22">
        <f t="shared" si="4"/>
        <v>0.99842145611726185</v>
      </c>
    </row>
    <row r="313" spans="1:7" x14ac:dyDescent="0.35">
      <c r="A313" s="13">
        <v>44427</v>
      </c>
      <c r="B313" s="14">
        <v>1374.85</v>
      </c>
      <c r="C313" s="14">
        <v>1360.94</v>
      </c>
      <c r="D313" s="14">
        <v>1374.85</v>
      </c>
      <c r="E313" s="14">
        <v>1352.94</v>
      </c>
      <c r="F313" s="23" t="s">
        <v>224</v>
      </c>
      <c r="G313" s="22">
        <f t="shared" si="4"/>
        <v>1.0101689967924985</v>
      </c>
    </row>
    <row r="314" spans="1:7" x14ac:dyDescent="0.35">
      <c r="A314" s="13">
        <v>44428</v>
      </c>
      <c r="B314" s="14">
        <v>1329.43</v>
      </c>
      <c r="C314" s="14">
        <v>1374.85</v>
      </c>
      <c r="D314" s="14">
        <v>1374.85</v>
      </c>
      <c r="E314" s="14">
        <v>1317.52</v>
      </c>
      <c r="F314" s="23" t="s">
        <v>223</v>
      </c>
      <c r="G314" s="22">
        <f t="shared" si="4"/>
        <v>0.9664056446835112</v>
      </c>
    </row>
    <row r="315" spans="1:7" x14ac:dyDescent="0.35">
      <c r="A315" s="13">
        <v>44431</v>
      </c>
      <c r="B315" s="14">
        <v>1298.8599999999999</v>
      </c>
      <c r="C315" s="14">
        <v>1329.43</v>
      </c>
      <c r="D315" s="14">
        <v>1329.43</v>
      </c>
      <c r="E315" s="14">
        <v>1298.8599999999999</v>
      </c>
      <c r="F315" s="23" t="s">
        <v>222</v>
      </c>
      <c r="G315" s="22">
        <f t="shared" si="4"/>
        <v>0.97673667772648687</v>
      </c>
    </row>
    <row r="316" spans="1:7" x14ac:dyDescent="0.35">
      <c r="A316" s="13">
        <v>44432</v>
      </c>
      <c r="B316" s="14">
        <v>1298.74</v>
      </c>
      <c r="C316" s="14">
        <v>1298.8599999999999</v>
      </c>
      <c r="D316" s="14">
        <v>1307.56</v>
      </c>
      <c r="E316" s="14">
        <v>1289.1600000000001</v>
      </c>
      <c r="F316" s="23" t="s">
        <v>221</v>
      </c>
      <c r="G316" s="22">
        <f t="shared" si="4"/>
        <v>0.9999076070218007</v>
      </c>
    </row>
    <row r="317" spans="1:7" x14ac:dyDescent="0.35">
      <c r="A317" s="13">
        <v>44433</v>
      </c>
      <c r="B317" s="14">
        <v>1309.55</v>
      </c>
      <c r="C317" s="14">
        <v>1298.74</v>
      </c>
      <c r="D317" s="14">
        <v>1310.1600000000001</v>
      </c>
      <c r="E317" s="14">
        <v>1291.7</v>
      </c>
      <c r="F317" s="23" t="s">
        <v>220</v>
      </c>
      <c r="G317" s="22">
        <f t="shared" si="4"/>
        <v>1.0082890030587088</v>
      </c>
    </row>
    <row r="318" spans="1:7" x14ac:dyDescent="0.35">
      <c r="A318" s="13">
        <v>44434</v>
      </c>
      <c r="B318" s="14">
        <v>1301.1199999999999</v>
      </c>
      <c r="C318" s="14">
        <v>1309.55</v>
      </c>
      <c r="D318" s="14">
        <v>1316.26</v>
      </c>
      <c r="E318" s="14">
        <v>1295.77</v>
      </c>
      <c r="F318" s="23" t="s">
        <v>219</v>
      </c>
      <c r="G318" s="22">
        <f t="shared" si="4"/>
        <v>0.99354186526868471</v>
      </c>
    </row>
    <row r="319" spans="1:7" x14ac:dyDescent="0.35">
      <c r="A319" s="13">
        <v>44435</v>
      </c>
      <c r="B319" s="14">
        <v>1313.2</v>
      </c>
      <c r="C319" s="14">
        <v>1301.1199999999999</v>
      </c>
      <c r="D319" s="14">
        <v>1313.2</v>
      </c>
      <c r="E319" s="14">
        <v>1285.1600000000001</v>
      </c>
      <c r="F319" s="23" t="s">
        <v>218</v>
      </c>
      <c r="G319" s="22">
        <f t="shared" si="4"/>
        <v>1.0092414746275105</v>
      </c>
    </row>
    <row r="320" spans="1:7" x14ac:dyDescent="0.35">
      <c r="A320" s="13">
        <v>44438</v>
      </c>
      <c r="B320" s="14">
        <v>1328.14</v>
      </c>
      <c r="C320" s="14">
        <v>1313.2</v>
      </c>
      <c r="D320" s="14">
        <v>1329.62</v>
      </c>
      <c r="E320" s="14">
        <v>1313.2</v>
      </c>
      <c r="F320" s="23" t="s">
        <v>217</v>
      </c>
      <c r="G320" s="22">
        <f t="shared" si="4"/>
        <v>1.011312560539213</v>
      </c>
    </row>
    <row r="321" spans="1:7" x14ac:dyDescent="0.35">
      <c r="A321" s="13">
        <v>44439</v>
      </c>
      <c r="B321" s="14">
        <v>1331.47</v>
      </c>
      <c r="C321" s="14">
        <v>1328.14</v>
      </c>
      <c r="D321" s="14">
        <v>1336.14</v>
      </c>
      <c r="E321" s="14">
        <v>1325.69</v>
      </c>
      <c r="F321" s="23" t="s">
        <v>216</v>
      </c>
      <c r="G321" s="22">
        <f t="shared" si="4"/>
        <v>1.0025041278534121</v>
      </c>
    </row>
    <row r="322" spans="1:7" x14ac:dyDescent="0.35">
      <c r="A322" s="13">
        <v>44440</v>
      </c>
      <c r="B322" s="14">
        <v>1334.65</v>
      </c>
      <c r="C322" s="14">
        <v>1331.47</v>
      </c>
      <c r="D322" s="14">
        <v>1338.02</v>
      </c>
      <c r="E322" s="14">
        <v>1328.13</v>
      </c>
      <c r="F322" s="23" t="s">
        <v>215</v>
      </c>
      <c r="G322" s="22">
        <f t="shared" si="4"/>
        <v>1.0023854901564815</v>
      </c>
    </row>
    <row r="323" spans="1:7" x14ac:dyDescent="0.35">
      <c r="A323" s="13">
        <v>44445</v>
      </c>
      <c r="B323" s="14">
        <v>1346.39</v>
      </c>
      <c r="C323" s="14">
        <v>1334.65</v>
      </c>
      <c r="D323" s="14">
        <v>1348.36</v>
      </c>
      <c r="E323" s="14">
        <v>1334.65</v>
      </c>
      <c r="F323" s="23" t="s">
        <v>214</v>
      </c>
      <c r="G323" s="22">
        <f t="shared" si="4"/>
        <v>1.0087578514591604</v>
      </c>
    </row>
    <row r="324" spans="1:7" x14ac:dyDescent="0.35">
      <c r="A324" s="13">
        <v>44446</v>
      </c>
      <c r="B324" s="14">
        <v>1341.9</v>
      </c>
      <c r="C324" s="14">
        <v>1346.39</v>
      </c>
      <c r="D324" s="14">
        <v>1353.66</v>
      </c>
      <c r="E324" s="14">
        <v>1340.32</v>
      </c>
      <c r="F324" s="23" t="s">
        <v>213</v>
      </c>
      <c r="G324" s="22">
        <f t="shared" ref="G324:G387" si="5">LN(B324/B323)+1</f>
        <v>0.99665958347120731</v>
      </c>
    </row>
    <row r="325" spans="1:7" x14ac:dyDescent="0.35">
      <c r="A325" s="13">
        <v>44447</v>
      </c>
      <c r="B325" s="14">
        <v>1333.61</v>
      </c>
      <c r="C325" s="14">
        <v>1341.9</v>
      </c>
      <c r="D325" s="14">
        <v>1344.49</v>
      </c>
      <c r="E325" s="14">
        <v>1328.35</v>
      </c>
      <c r="F325" s="23" t="s">
        <v>212</v>
      </c>
      <c r="G325" s="22">
        <f t="shared" si="5"/>
        <v>0.99380303080185839</v>
      </c>
    </row>
    <row r="326" spans="1:7" x14ac:dyDescent="0.35">
      <c r="A326" s="13">
        <v>44448</v>
      </c>
      <c r="B326" s="14">
        <v>1343.98</v>
      </c>
      <c r="C326" s="14">
        <v>1333.61</v>
      </c>
      <c r="D326" s="14">
        <v>1345.59</v>
      </c>
      <c r="E326" s="14">
        <v>1332.67</v>
      </c>
      <c r="F326" s="23" t="s">
        <v>211</v>
      </c>
      <c r="G326" s="22">
        <f t="shared" si="5"/>
        <v>1.0077458101112211</v>
      </c>
    </row>
    <row r="327" spans="1:7" x14ac:dyDescent="0.35">
      <c r="A327" s="13">
        <v>44449</v>
      </c>
      <c r="B327" s="14">
        <v>1345.31</v>
      </c>
      <c r="C327" s="14">
        <v>1343.98</v>
      </c>
      <c r="D327" s="14">
        <v>1350.43</v>
      </c>
      <c r="E327" s="14">
        <v>1343.98</v>
      </c>
      <c r="F327" s="23" t="s">
        <v>210</v>
      </c>
      <c r="G327" s="22">
        <f t="shared" si="5"/>
        <v>1.000989108730135</v>
      </c>
    </row>
    <row r="328" spans="1:7" x14ac:dyDescent="0.35">
      <c r="A328" s="13">
        <v>44452</v>
      </c>
      <c r="B328" s="14">
        <v>1341.43</v>
      </c>
      <c r="C328" s="14">
        <v>1345.31</v>
      </c>
      <c r="D328" s="14">
        <v>1350.69</v>
      </c>
      <c r="E328" s="14">
        <v>1340.5</v>
      </c>
      <c r="F328" s="23" t="s">
        <v>209</v>
      </c>
      <c r="G328" s="22">
        <f t="shared" si="5"/>
        <v>0.9971117393590283</v>
      </c>
    </row>
    <row r="329" spans="1:7" x14ac:dyDescent="0.35">
      <c r="A329" s="13">
        <v>44453</v>
      </c>
      <c r="B329" s="14">
        <v>1339.7</v>
      </c>
      <c r="C329" s="14">
        <v>1341.43</v>
      </c>
      <c r="D329" s="14">
        <v>1349.13</v>
      </c>
      <c r="E329" s="14">
        <v>1336.84</v>
      </c>
      <c r="F329" s="23" t="s">
        <v>208</v>
      </c>
      <c r="G329" s="22">
        <f t="shared" si="5"/>
        <v>0.9987094991737856</v>
      </c>
    </row>
    <row r="330" spans="1:7" x14ac:dyDescent="0.35">
      <c r="A330" s="13">
        <v>44454</v>
      </c>
      <c r="B330" s="14">
        <v>1345.83</v>
      </c>
      <c r="C330" s="14">
        <v>1339.7</v>
      </c>
      <c r="D330" s="14">
        <v>1347.7</v>
      </c>
      <c r="E330" s="14">
        <v>1334.97</v>
      </c>
      <c r="F330" s="23" t="s">
        <v>207</v>
      </c>
      <c r="G330" s="22">
        <f t="shared" si="5"/>
        <v>1.0045652147966091</v>
      </c>
    </row>
    <row r="331" spans="1:7" x14ac:dyDescent="0.35">
      <c r="A331" s="13">
        <v>44455</v>
      </c>
      <c r="B331" s="14">
        <v>1345.87</v>
      </c>
      <c r="C331" s="14">
        <v>1345.83</v>
      </c>
      <c r="D331" s="14">
        <v>1353.12</v>
      </c>
      <c r="E331" s="14">
        <v>1341.23</v>
      </c>
      <c r="F331" s="23" t="s">
        <v>206</v>
      </c>
      <c r="G331" s="22">
        <f t="shared" si="5"/>
        <v>1.0000297209941693</v>
      </c>
    </row>
    <row r="332" spans="1:7" x14ac:dyDescent="0.35">
      <c r="A332" s="13">
        <v>44456</v>
      </c>
      <c r="B332" s="14">
        <v>1352.64</v>
      </c>
      <c r="C332" s="14">
        <v>1345.87</v>
      </c>
      <c r="D332" s="14">
        <v>1356.45</v>
      </c>
      <c r="E332" s="14">
        <v>1345.87</v>
      </c>
      <c r="F332" s="23" t="s">
        <v>205</v>
      </c>
      <c r="G332" s="22">
        <f t="shared" si="5"/>
        <v>1.0050175943047066</v>
      </c>
    </row>
    <row r="333" spans="1:7" x14ac:dyDescent="0.35">
      <c r="A333" s="13">
        <v>44459</v>
      </c>
      <c r="B333" s="14">
        <v>1350.48</v>
      </c>
      <c r="C333" s="14">
        <v>1352.64</v>
      </c>
      <c r="D333" s="14">
        <v>1365.92</v>
      </c>
      <c r="E333" s="14">
        <v>1349.18</v>
      </c>
      <c r="F333" s="23" t="s">
        <v>204</v>
      </c>
      <c r="G333" s="22">
        <f t="shared" si="5"/>
        <v>0.99840184641470808</v>
      </c>
    </row>
    <row r="334" spans="1:7" x14ac:dyDescent="0.35">
      <c r="A334" s="13">
        <v>44460</v>
      </c>
      <c r="B334" s="14">
        <v>1339.84</v>
      </c>
      <c r="C334" s="14">
        <v>1350.48</v>
      </c>
      <c r="D334" s="14">
        <v>1350.48</v>
      </c>
      <c r="E334" s="14">
        <v>1324.82</v>
      </c>
      <c r="F334" s="23" t="s">
        <v>203</v>
      </c>
      <c r="G334" s="22">
        <f t="shared" si="5"/>
        <v>0.9920901190376451</v>
      </c>
    </row>
    <row r="335" spans="1:7" x14ac:dyDescent="0.35">
      <c r="A335" s="13">
        <v>44461</v>
      </c>
      <c r="B335" s="14">
        <v>1350.68</v>
      </c>
      <c r="C335" s="14">
        <v>1339.84</v>
      </c>
      <c r="D335" s="14">
        <v>1350.71</v>
      </c>
      <c r="E335" s="14">
        <v>1336.63</v>
      </c>
      <c r="F335" s="23" t="s">
        <v>202</v>
      </c>
      <c r="G335" s="22">
        <f t="shared" si="5"/>
        <v>1.0080579654892732</v>
      </c>
    </row>
    <row r="336" spans="1:7" x14ac:dyDescent="0.35">
      <c r="A336" s="13">
        <v>44462</v>
      </c>
      <c r="B336" s="14">
        <v>1352.76</v>
      </c>
      <c r="C336" s="14">
        <v>1350.68</v>
      </c>
      <c r="D336" s="14">
        <v>1361.09</v>
      </c>
      <c r="E336" s="14">
        <v>1350.43</v>
      </c>
      <c r="F336" s="23" t="s">
        <v>201</v>
      </c>
      <c r="G336" s="22">
        <f t="shared" si="5"/>
        <v>1.0015387805243885</v>
      </c>
    </row>
    <row r="337" spans="1:7" x14ac:dyDescent="0.35">
      <c r="A337" s="13">
        <v>44463</v>
      </c>
      <c r="B337" s="14">
        <v>1351.17</v>
      </c>
      <c r="C337" s="14">
        <v>1352.76</v>
      </c>
      <c r="D337" s="14">
        <v>1356.97</v>
      </c>
      <c r="E337" s="14">
        <v>1348.07</v>
      </c>
      <c r="F337" s="23" t="s">
        <v>200</v>
      </c>
      <c r="G337" s="22">
        <f t="shared" si="5"/>
        <v>0.99882393391599278</v>
      </c>
    </row>
    <row r="338" spans="1:7" x14ac:dyDescent="0.35">
      <c r="A338" s="13">
        <v>44466</v>
      </c>
      <c r="B338" s="14">
        <v>1324.99</v>
      </c>
      <c r="C338" s="14">
        <v>1351.17</v>
      </c>
      <c r="D338" s="14">
        <v>1354.38</v>
      </c>
      <c r="E338" s="14">
        <v>1324.99</v>
      </c>
      <c r="F338" s="23" t="s">
        <v>199</v>
      </c>
      <c r="G338" s="22">
        <f t="shared" si="5"/>
        <v>0.98043402846159822</v>
      </c>
    </row>
    <row r="339" spans="1:7" x14ac:dyDescent="0.35">
      <c r="A339" s="13">
        <v>44467</v>
      </c>
      <c r="B339" s="14">
        <v>1339.31</v>
      </c>
      <c r="C339" s="14">
        <v>1324.99</v>
      </c>
      <c r="D339" s="14">
        <v>1341.81</v>
      </c>
      <c r="E339" s="14">
        <v>1316.41</v>
      </c>
      <c r="F339" s="23" t="s">
        <v>198</v>
      </c>
      <c r="G339" s="22">
        <f t="shared" si="5"/>
        <v>1.0107496437301935</v>
      </c>
    </row>
    <row r="340" spans="1:7" x14ac:dyDescent="0.35">
      <c r="A340" s="13">
        <v>44468</v>
      </c>
      <c r="B340" s="14">
        <v>1339.21</v>
      </c>
      <c r="C340" s="14">
        <v>1339.31</v>
      </c>
      <c r="D340" s="14">
        <v>1340.9</v>
      </c>
      <c r="E340" s="14">
        <v>1328.17</v>
      </c>
      <c r="F340" s="23" t="s">
        <v>197</v>
      </c>
      <c r="G340" s="22">
        <f t="shared" si="5"/>
        <v>0.99992533189967114</v>
      </c>
    </row>
    <row r="341" spans="1:7" x14ac:dyDescent="0.35">
      <c r="A341" s="13">
        <v>44469</v>
      </c>
      <c r="B341" s="14">
        <v>1342.06</v>
      </c>
      <c r="C341" s="14">
        <v>1339.21</v>
      </c>
      <c r="D341" s="14">
        <v>1348.89</v>
      </c>
      <c r="E341" s="14">
        <v>1339.21</v>
      </c>
      <c r="F341" s="23" t="s">
        <v>196</v>
      </c>
      <c r="G341" s="22">
        <f t="shared" si="5"/>
        <v>1.0021258590692679</v>
      </c>
    </row>
    <row r="342" spans="1:7" x14ac:dyDescent="0.35">
      <c r="A342" s="13">
        <v>44470</v>
      </c>
      <c r="B342" s="14">
        <v>1334.89</v>
      </c>
      <c r="C342" s="14">
        <v>1342.06</v>
      </c>
      <c r="D342" s="14">
        <v>1344.06</v>
      </c>
      <c r="E342" s="14">
        <v>1332.97</v>
      </c>
      <c r="F342" s="23" t="s">
        <v>195</v>
      </c>
      <c r="G342" s="22">
        <f t="shared" si="5"/>
        <v>0.99464314451462121</v>
      </c>
    </row>
    <row r="343" spans="1:7" x14ac:dyDescent="0.35">
      <c r="A343" s="13">
        <v>44473</v>
      </c>
      <c r="B343" s="14">
        <v>1339.54</v>
      </c>
      <c r="C343" s="14">
        <v>1334.89</v>
      </c>
      <c r="D343" s="14">
        <v>1347.49</v>
      </c>
      <c r="E343" s="14">
        <v>1333.53</v>
      </c>
      <c r="F343" s="23" t="s">
        <v>194</v>
      </c>
      <c r="G343" s="22">
        <f t="shared" si="5"/>
        <v>1.0034773799917855</v>
      </c>
    </row>
    <row r="344" spans="1:7" x14ac:dyDescent="0.35">
      <c r="A344" s="13">
        <v>44474</v>
      </c>
      <c r="B344" s="14">
        <v>1354.63</v>
      </c>
      <c r="C344" s="14">
        <v>1339.54</v>
      </c>
      <c r="D344" s="14">
        <v>1354.63</v>
      </c>
      <c r="E344" s="14">
        <v>1339.54</v>
      </c>
      <c r="F344" s="23" t="s">
        <v>193</v>
      </c>
      <c r="G344" s="22">
        <f t="shared" si="5"/>
        <v>1.0112020828671877</v>
      </c>
    </row>
    <row r="345" spans="1:7" x14ac:dyDescent="0.35">
      <c r="A345" s="13">
        <v>44475</v>
      </c>
      <c r="B345" s="14">
        <v>1362.82</v>
      </c>
      <c r="C345" s="14">
        <v>1354.63</v>
      </c>
      <c r="D345" s="14">
        <v>1362.82</v>
      </c>
      <c r="E345" s="14">
        <v>1354.63</v>
      </c>
      <c r="F345" s="23" t="s">
        <v>192</v>
      </c>
      <c r="G345" s="22">
        <f t="shared" si="5"/>
        <v>1.0060277280521093</v>
      </c>
    </row>
    <row r="346" spans="1:7" x14ac:dyDescent="0.35">
      <c r="A346" s="13">
        <v>44476</v>
      </c>
      <c r="B346" s="14">
        <v>1365.99</v>
      </c>
      <c r="C346" s="14">
        <v>1362.82</v>
      </c>
      <c r="D346" s="14">
        <v>1367.64</v>
      </c>
      <c r="E346" s="14">
        <v>1360.57</v>
      </c>
      <c r="F346" s="23" t="s">
        <v>191</v>
      </c>
      <c r="G346" s="22">
        <f t="shared" si="5"/>
        <v>1.002323358112855</v>
      </c>
    </row>
    <row r="347" spans="1:7" x14ac:dyDescent="0.35">
      <c r="A347" s="13">
        <v>44477</v>
      </c>
      <c r="B347" s="14">
        <v>1372.73</v>
      </c>
      <c r="C347" s="14">
        <v>1365.99</v>
      </c>
      <c r="D347" s="14">
        <v>1373.18</v>
      </c>
      <c r="E347" s="14">
        <v>1365.93</v>
      </c>
      <c r="F347" s="23" t="s">
        <v>190</v>
      </c>
      <c r="G347" s="22">
        <f t="shared" si="5"/>
        <v>1.0049220172979159</v>
      </c>
    </row>
    <row r="348" spans="1:7" x14ac:dyDescent="0.35">
      <c r="A348" s="13">
        <v>44480</v>
      </c>
      <c r="B348" s="14">
        <v>1394.09</v>
      </c>
      <c r="C348" s="14">
        <v>1372.73</v>
      </c>
      <c r="D348" s="14">
        <v>1394.64</v>
      </c>
      <c r="E348" s="14">
        <v>1372.73</v>
      </c>
      <c r="F348" s="23" t="s">
        <v>189</v>
      </c>
      <c r="G348" s="22">
        <f t="shared" si="5"/>
        <v>1.0154404148890979</v>
      </c>
    </row>
    <row r="349" spans="1:7" x14ac:dyDescent="0.35">
      <c r="A349" s="13">
        <v>44481</v>
      </c>
      <c r="B349" s="14">
        <v>1394.8</v>
      </c>
      <c r="C349" s="14">
        <v>1394.09</v>
      </c>
      <c r="D349" s="14">
        <v>1400.78</v>
      </c>
      <c r="E349" s="14">
        <v>1389.43</v>
      </c>
      <c r="F349" s="23" t="s">
        <v>188</v>
      </c>
      <c r="G349" s="22">
        <f t="shared" si="5"/>
        <v>1.0005091631547598</v>
      </c>
    </row>
    <row r="350" spans="1:7" x14ac:dyDescent="0.35">
      <c r="A350" s="13">
        <v>44482</v>
      </c>
      <c r="B350" s="14">
        <v>1391.91</v>
      </c>
      <c r="C350" s="14">
        <v>1394.8</v>
      </c>
      <c r="D350" s="14">
        <v>1400.67</v>
      </c>
      <c r="E350" s="14">
        <v>1389.61</v>
      </c>
      <c r="F350" s="23" t="s">
        <v>187</v>
      </c>
      <c r="G350" s="22">
        <f t="shared" si="5"/>
        <v>0.9979258688302195</v>
      </c>
    </row>
    <row r="351" spans="1:7" x14ac:dyDescent="0.35">
      <c r="A351" s="13">
        <v>44483</v>
      </c>
      <c r="B351" s="14">
        <v>1391.85</v>
      </c>
      <c r="C351" s="14">
        <v>1391.91</v>
      </c>
      <c r="D351" s="14">
        <v>1398.67</v>
      </c>
      <c r="E351" s="14">
        <v>1388.89</v>
      </c>
      <c r="F351" s="23" t="s">
        <v>186</v>
      </c>
      <c r="G351" s="22">
        <f t="shared" si="5"/>
        <v>0.99995689283558242</v>
      </c>
    </row>
    <row r="352" spans="1:7" x14ac:dyDescent="0.35">
      <c r="A352" s="13">
        <v>44484</v>
      </c>
      <c r="B352" s="14">
        <v>1392.7</v>
      </c>
      <c r="C352" s="14">
        <v>1391.85</v>
      </c>
      <c r="D352" s="14">
        <v>1399.03</v>
      </c>
      <c r="E352" s="14">
        <v>1388</v>
      </c>
      <c r="F352" s="23" t="s">
        <v>185</v>
      </c>
      <c r="G352" s="22">
        <f t="shared" si="5"/>
        <v>1.0006105115917483</v>
      </c>
    </row>
    <row r="353" spans="1:7" x14ac:dyDescent="0.35">
      <c r="A353" s="13">
        <v>44487</v>
      </c>
      <c r="B353" s="14">
        <v>1395.53</v>
      </c>
      <c r="C353" s="14">
        <v>1392.7</v>
      </c>
      <c r="D353" s="14">
        <v>1402.63</v>
      </c>
      <c r="E353" s="14">
        <v>1390.88</v>
      </c>
      <c r="F353" s="23" t="s">
        <v>184</v>
      </c>
      <c r="G353" s="22">
        <f t="shared" si="5"/>
        <v>1.0020299623573445</v>
      </c>
    </row>
    <row r="354" spans="1:7" x14ac:dyDescent="0.35">
      <c r="A354" s="13">
        <v>44488</v>
      </c>
      <c r="B354" s="14">
        <v>1395.33</v>
      </c>
      <c r="C354" s="14">
        <v>1395.53</v>
      </c>
      <c r="D354" s="14">
        <v>1399.66</v>
      </c>
      <c r="E354" s="14">
        <v>1388.95</v>
      </c>
      <c r="F354" s="23" t="s">
        <v>183</v>
      </c>
      <c r="G354" s="22">
        <f t="shared" si="5"/>
        <v>0.99985667500315867</v>
      </c>
    </row>
    <row r="355" spans="1:7" x14ac:dyDescent="0.35">
      <c r="A355" s="13">
        <v>44489</v>
      </c>
      <c r="B355" s="14">
        <v>1393.8</v>
      </c>
      <c r="C355" s="14">
        <v>1395.33</v>
      </c>
      <c r="D355" s="14">
        <v>1401.76</v>
      </c>
      <c r="E355" s="14">
        <v>1376.15</v>
      </c>
      <c r="F355" s="23" t="s">
        <v>182</v>
      </c>
      <c r="G355" s="22">
        <f t="shared" si="5"/>
        <v>0.99890288358486901</v>
      </c>
    </row>
    <row r="356" spans="1:7" x14ac:dyDescent="0.35">
      <c r="A356" s="13">
        <v>44490</v>
      </c>
      <c r="B356" s="14">
        <v>1384.77</v>
      </c>
      <c r="C356" s="14">
        <v>1393.8</v>
      </c>
      <c r="D356" s="14">
        <v>1398.45</v>
      </c>
      <c r="E356" s="14">
        <v>1384.77</v>
      </c>
      <c r="F356" s="23" t="s">
        <v>181</v>
      </c>
      <c r="G356" s="22">
        <f t="shared" si="5"/>
        <v>0.99350023084475514</v>
      </c>
    </row>
    <row r="357" spans="1:7" x14ac:dyDescent="0.35">
      <c r="A357" s="13">
        <v>44491</v>
      </c>
      <c r="B357" s="14">
        <v>1389.24</v>
      </c>
      <c r="C357" s="14">
        <v>1384.77</v>
      </c>
      <c r="D357" s="14">
        <v>1393.7</v>
      </c>
      <c r="E357" s="14">
        <v>1384.77</v>
      </c>
      <c r="F357" s="23" t="s">
        <v>180</v>
      </c>
      <c r="G357" s="22">
        <f t="shared" si="5"/>
        <v>1.0032227741564639</v>
      </c>
    </row>
    <row r="358" spans="1:7" x14ac:dyDescent="0.35">
      <c r="A358" s="13">
        <v>44494</v>
      </c>
      <c r="B358" s="14">
        <v>1385.4</v>
      </c>
      <c r="C358" s="14">
        <v>1389.24</v>
      </c>
      <c r="D358" s="14">
        <v>1395.72</v>
      </c>
      <c r="E358" s="14">
        <v>1385.4</v>
      </c>
      <c r="F358" s="23" t="s">
        <v>179</v>
      </c>
      <c r="G358" s="22">
        <f t="shared" si="5"/>
        <v>0.99723207158286742</v>
      </c>
    </row>
    <row r="359" spans="1:7" x14ac:dyDescent="0.35">
      <c r="A359" s="13">
        <v>44495</v>
      </c>
      <c r="B359" s="14">
        <v>1391.63</v>
      </c>
      <c r="C359" s="14">
        <v>1385.4</v>
      </c>
      <c r="D359" s="14">
        <v>1393.03</v>
      </c>
      <c r="E359" s="14">
        <v>1377.56</v>
      </c>
      <c r="F359" s="23" t="s">
        <v>178</v>
      </c>
      <c r="G359" s="22">
        <f t="shared" si="5"/>
        <v>1.0044868153758559</v>
      </c>
    </row>
    <row r="360" spans="1:7" x14ac:dyDescent="0.35">
      <c r="A360" s="13">
        <v>44496</v>
      </c>
      <c r="B360" s="14">
        <v>1423.02</v>
      </c>
      <c r="C360" s="14">
        <v>1391.63</v>
      </c>
      <c r="D360" s="14">
        <v>1423.02</v>
      </c>
      <c r="E360" s="14">
        <v>1391.63</v>
      </c>
      <c r="F360" s="23" t="s">
        <v>177</v>
      </c>
      <c r="G360" s="22">
        <f t="shared" si="5"/>
        <v>1.0223056518404974</v>
      </c>
    </row>
    <row r="361" spans="1:7" x14ac:dyDescent="0.35">
      <c r="A361" s="13">
        <v>44497</v>
      </c>
      <c r="B361" s="14">
        <v>1438.01</v>
      </c>
      <c r="C361" s="14">
        <v>1423.02</v>
      </c>
      <c r="D361" s="14">
        <v>1440.64</v>
      </c>
      <c r="E361" s="14">
        <v>1420.42</v>
      </c>
      <c r="F361" s="23" t="s">
        <v>176</v>
      </c>
      <c r="G361" s="22">
        <f t="shared" si="5"/>
        <v>1.0104788395548749</v>
      </c>
    </row>
    <row r="362" spans="1:7" x14ac:dyDescent="0.35">
      <c r="A362" s="13">
        <v>44498</v>
      </c>
      <c r="B362" s="14">
        <v>1444.27</v>
      </c>
      <c r="C362" s="14">
        <v>1438.01</v>
      </c>
      <c r="D362" s="14">
        <v>1447.62</v>
      </c>
      <c r="E362" s="14">
        <v>1432.19</v>
      </c>
      <c r="F362" s="23" t="s">
        <v>175</v>
      </c>
      <c r="G362" s="22">
        <f t="shared" si="5"/>
        <v>1.0043437902237613</v>
      </c>
    </row>
    <row r="363" spans="1:7" x14ac:dyDescent="0.35">
      <c r="A363" s="13">
        <v>44501</v>
      </c>
      <c r="B363" s="14">
        <v>1438.97</v>
      </c>
      <c r="C363" s="14">
        <v>1444.27</v>
      </c>
      <c r="D363" s="14">
        <v>1451.81</v>
      </c>
      <c r="E363" s="14">
        <v>1435.57</v>
      </c>
      <c r="F363" s="23" t="s">
        <v>133</v>
      </c>
      <c r="G363" s="22">
        <f t="shared" si="5"/>
        <v>0.996323576275575</v>
      </c>
    </row>
    <row r="364" spans="1:7" x14ac:dyDescent="0.35">
      <c r="A364" s="13">
        <v>44502</v>
      </c>
      <c r="B364" s="14">
        <v>1452.46</v>
      </c>
      <c r="C364" s="14">
        <v>1438.97</v>
      </c>
      <c r="D364" s="14">
        <v>1452.46</v>
      </c>
      <c r="E364" s="14">
        <v>1438.83</v>
      </c>
      <c r="F364" s="23" t="s">
        <v>161</v>
      </c>
      <c r="G364" s="22">
        <f t="shared" si="5"/>
        <v>1.0093310907614654</v>
      </c>
    </row>
    <row r="365" spans="1:7" x14ac:dyDescent="0.35">
      <c r="A365" s="13">
        <v>44503</v>
      </c>
      <c r="B365" s="14">
        <v>1444.3</v>
      </c>
      <c r="C365" s="14">
        <v>1452.46</v>
      </c>
      <c r="D365" s="14">
        <v>1463.63</v>
      </c>
      <c r="E365" s="14">
        <v>1440.67</v>
      </c>
      <c r="F365" s="23" t="s">
        <v>174</v>
      </c>
      <c r="G365" s="22">
        <f t="shared" si="5"/>
        <v>0.99436610448658624</v>
      </c>
    </row>
    <row r="366" spans="1:7" x14ac:dyDescent="0.35">
      <c r="A366" s="13">
        <v>44504</v>
      </c>
      <c r="B366" s="14">
        <v>1448.34</v>
      </c>
      <c r="C366" s="14">
        <v>1444.3</v>
      </c>
      <c r="D366" s="14">
        <v>1451.98</v>
      </c>
      <c r="E366" s="14">
        <v>1435.84</v>
      </c>
      <c r="F366" s="23" t="s">
        <v>173</v>
      </c>
      <c r="G366" s="22">
        <f t="shared" si="5"/>
        <v>1.0027932979056127</v>
      </c>
    </row>
    <row r="367" spans="1:7" x14ac:dyDescent="0.35">
      <c r="A367" s="13">
        <v>44505</v>
      </c>
      <c r="B367" s="14">
        <v>1456.51</v>
      </c>
      <c r="C367" s="14">
        <v>1448.34</v>
      </c>
      <c r="D367" s="14">
        <v>1459.93</v>
      </c>
      <c r="E367" s="14">
        <v>1444.51</v>
      </c>
      <c r="F367" s="23" t="s">
        <v>172</v>
      </c>
      <c r="G367" s="22">
        <f t="shared" si="5"/>
        <v>1.0056250901373023</v>
      </c>
    </row>
    <row r="368" spans="1:7" x14ac:dyDescent="0.35">
      <c r="A368" s="13">
        <v>44508</v>
      </c>
      <c r="B368" s="14">
        <v>1467.57</v>
      </c>
      <c r="C368" s="14">
        <v>1456.51</v>
      </c>
      <c r="D368" s="14">
        <v>1470.49</v>
      </c>
      <c r="E368" s="14">
        <v>1456.51</v>
      </c>
      <c r="F368" s="23" t="s">
        <v>160</v>
      </c>
      <c r="G368" s="22">
        <f t="shared" si="5"/>
        <v>1.0075648085849562</v>
      </c>
    </row>
    <row r="369" spans="1:7" x14ac:dyDescent="0.35">
      <c r="A369" s="13">
        <v>44509</v>
      </c>
      <c r="B369" s="14">
        <v>1461.5</v>
      </c>
      <c r="C369" s="14">
        <v>1467.57</v>
      </c>
      <c r="D369" s="14">
        <v>1474.2</v>
      </c>
      <c r="E369" s="14">
        <v>1457.57</v>
      </c>
      <c r="F369" s="23" t="s">
        <v>136</v>
      </c>
      <c r="G369" s="22">
        <f t="shared" si="5"/>
        <v>0.99585533381630842</v>
      </c>
    </row>
    <row r="370" spans="1:7" x14ac:dyDescent="0.35">
      <c r="A370" s="13">
        <v>44510</v>
      </c>
      <c r="B370" s="14">
        <v>1465.02</v>
      </c>
      <c r="C370" s="14">
        <v>1461.5</v>
      </c>
      <c r="D370" s="14">
        <v>1470.19</v>
      </c>
      <c r="E370" s="14">
        <v>1457.98</v>
      </c>
      <c r="F370" s="23" t="s">
        <v>171</v>
      </c>
      <c r="G370" s="22">
        <f t="shared" si="5"/>
        <v>1.0024055886838141</v>
      </c>
    </row>
    <row r="371" spans="1:7" x14ac:dyDescent="0.35">
      <c r="A371" s="13">
        <v>44511</v>
      </c>
      <c r="B371" s="14">
        <v>1462.35</v>
      </c>
      <c r="C371" s="14">
        <v>1465.02</v>
      </c>
      <c r="D371" s="14">
        <v>1472.89</v>
      </c>
      <c r="E371" s="14">
        <v>1449.18</v>
      </c>
      <c r="F371" s="23" t="s">
        <v>164</v>
      </c>
      <c r="G371" s="22">
        <f t="shared" si="5"/>
        <v>0.99817583650827535</v>
      </c>
    </row>
    <row r="372" spans="1:7" x14ac:dyDescent="0.35">
      <c r="A372" s="13">
        <v>44512</v>
      </c>
      <c r="B372" s="14">
        <v>1473.37</v>
      </c>
      <c r="C372" s="14">
        <v>1462.35</v>
      </c>
      <c r="D372" s="14">
        <v>1474.98</v>
      </c>
      <c r="E372" s="14">
        <v>1453.22</v>
      </c>
      <c r="F372" s="23" t="s">
        <v>170</v>
      </c>
      <c r="G372" s="22">
        <f t="shared" si="5"/>
        <v>1.0075075632283987</v>
      </c>
    </row>
    <row r="373" spans="1:7" x14ac:dyDescent="0.35">
      <c r="A373" s="13">
        <v>44515</v>
      </c>
      <c r="B373" s="14">
        <v>1476.57</v>
      </c>
      <c r="C373" s="14">
        <v>1473.37</v>
      </c>
      <c r="D373" s="14">
        <v>1481.96</v>
      </c>
      <c r="E373" s="14">
        <v>1466.01</v>
      </c>
      <c r="F373" s="23" t="s">
        <v>169</v>
      </c>
      <c r="G373" s="22">
        <f t="shared" si="5"/>
        <v>1.0021695365025527</v>
      </c>
    </row>
    <row r="374" spans="1:7" x14ac:dyDescent="0.35">
      <c r="A374" s="13">
        <v>44516</v>
      </c>
      <c r="B374" s="14">
        <v>1466.45</v>
      </c>
      <c r="C374" s="14">
        <v>1476.57</v>
      </c>
      <c r="D374" s="14">
        <v>1476.97</v>
      </c>
      <c r="E374" s="14">
        <v>1459.08</v>
      </c>
      <c r="F374" s="23" t="s">
        <v>168</v>
      </c>
      <c r="G374" s="22">
        <f t="shared" si="5"/>
        <v>0.99312268357842559</v>
      </c>
    </row>
    <row r="375" spans="1:7" x14ac:dyDescent="0.35">
      <c r="A375" s="13">
        <v>44517</v>
      </c>
      <c r="B375" s="14">
        <v>1475.85</v>
      </c>
      <c r="C375" s="14">
        <v>1466.45</v>
      </c>
      <c r="D375" s="14">
        <v>1477.04</v>
      </c>
      <c r="E375" s="14">
        <v>1464.78</v>
      </c>
      <c r="F375" s="23" t="s">
        <v>167</v>
      </c>
      <c r="G375" s="22">
        <f t="shared" si="5"/>
        <v>1.0063895809271168</v>
      </c>
    </row>
    <row r="376" spans="1:7" x14ac:dyDescent="0.35">
      <c r="A376" s="13">
        <v>44518</v>
      </c>
      <c r="B376" s="14">
        <v>1469.83</v>
      </c>
      <c r="C376" s="14">
        <v>1475.85</v>
      </c>
      <c r="D376" s="14">
        <v>1482.87</v>
      </c>
      <c r="E376" s="14">
        <v>1469.83</v>
      </c>
      <c r="F376" s="23" t="s">
        <v>166</v>
      </c>
      <c r="G376" s="22">
        <f t="shared" si="5"/>
        <v>0.99591265284685027</v>
      </c>
    </row>
    <row r="377" spans="1:7" x14ac:dyDescent="0.35">
      <c r="A377" s="13">
        <v>44519</v>
      </c>
      <c r="B377" s="14">
        <v>1452.35</v>
      </c>
      <c r="C377" s="14">
        <v>1469.83</v>
      </c>
      <c r="D377" s="14">
        <v>1481.53</v>
      </c>
      <c r="E377" s="14">
        <v>1434.69</v>
      </c>
      <c r="F377" s="23" t="s">
        <v>165</v>
      </c>
      <c r="G377" s="22">
        <f t="shared" si="5"/>
        <v>0.98803618634284296</v>
      </c>
    </row>
    <row r="378" spans="1:7" x14ac:dyDescent="0.35">
      <c r="A378" s="13">
        <v>44522</v>
      </c>
      <c r="B378" s="14">
        <v>1447.25</v>
      </c>
      <c r="C378" s="14">
        <v>1452.35</v>
      </c>
      <c r="D378" s="14">
        <v>1466.46</v>
      </c>
      <c r="E378" s="14">
        <v>1442.85</v>
      </c>
      <c r="F378" s="23" t="s">
        <v>164</v>
      </c>
      <c r="G378" s="22">
        <f t="shared" si="5"/>
        <v>0.99648226978953669</v>
      </c>
    </row>
    <row r="379" spans="1:7" x14ac:dyDescent="0.35">
      <c r="A379" s="13">
        <v>44523</v>
      </c>
      <c r="B379" s="14">
        <v>1463.63</v>
      </c>
      <c r="C379" s="14">
        <v>1447.25</v>
      </c>
      <c r="D379" s="14">
        <v>1463.63</v>
      </c>
      <c r="E379" s="14">
        <v>1438.41</v>
      </c>
      <c r="F379" s="23" t="s">
        <v>163</v>
      </c>
      <c r="G379" s="22">
        <f t="shared" si="5"/>
        <v>1.0112544473795313</v>
      </c>
    </row>
    <row r="380" spans="1:7" x14ac:dyDescent="0.35">
      <c r="A380" s="13">
        <v>44524</v>
      </c>
      <c r="B380" s="14">
        <v>1488.87</v>
      </c>
      <c r="C380" s="14">
        <v>1463.63</v>
      </c>
      <c r="D380" s="14">
        <v>1491.05</v>
      </c>
      <c r="E380" s="14">
        <v>1463.63</v>
      </c>
      <c r="F380" s="23" t="s">
        <v>162</v>
      </c>
      <c r="G380" s="22">
        <f t="shared" si="5"/>
        <v>1.0170977916164987</v>
      </c>
    </row>
    <row r="381" spans="1:7" x14ac:dyDescent="0.35">
      <c r="A381" s="13">
        <v>44525</v>
      </c>
      <c r="B381" s="14">
        <v>1500.81</v>
      </c>
      <c r="C381" s="14">
        <v>1488.87</v>
      </c>
      <c r="D381" s="14">
        <v>1505.36</v>
      </c>
      <c r="E381" s="14">
        <v>1488.87</v>
      </c>
      <c r="F381" s="23" t="s">
        <v>161</v>
      </c>
      <c r="G381" s="22">
        <f t="shared" si="5"/>
        <v>1.0079875193876242</v>
      </c>
    </row>
    <row r="382" spans="1:7" x14ac:dyDescent="0.35">
      <c r="A382" s="13">
        <v>44526</v>
      </c>
      <c r="B382" s="14">
        <v>1493.03</v>
      </c>
      <c r="C382" s="14">
        <v>1500.81</v>
      </c>
      <c r="D382" s="14">
        <v>1511.68</v>
      </c>
      <c r="E382" s="14">
        <v>1488.83</v>
      </c>
      <c r="F382" s="23" t="s">
        <v>137</v>
      </c>
      <c r="G382" s="22">
        <f t="shared" si="5"/>
        <v>0.99480264976547617</v>
      </c>
    </row>
    <row r="383" spans="1:7" x14ac:dyDescent="0.35">
      <c r="A383" s="13">
        <v>44529</v>
      </c>
      <c r="B383" s="14">
        <v>1484.84</v>
      </c>
      <c r="C383" s="14">
        <v>1493.03</v>
      </c>
      <c r="D383" s="14">
        <v>1493.03</v>
      </c>
      <c r="E383" s="14">
        <v>1464.83</v>
      </c>
      <c r="F383" s="23" t="s">
        <v>161</v>
      </c>
      <c r="G383" s="22">
        <f t="shared" si="5"/>
        <v>0.99449941021599819</v>
      </c>
    </row>
    <row r="384" spans="1:7" x14ac:dyDescent="0.35">
      <c r="A384" s="13">
        <v>44530</v>
      </c>
      <c r="B384" s="14">
        <v>1478.44</v>
      </c>
      <c r="C384" s="14">
        <v>1484.84</v>
      </c>
      <c r="D384" s="14">
        <v>1503.09</v>
      </c>
      <c r="E384" s="14">
        <v>1471.57</v>
      </c>
      <c r="F384" s="23" t="s">
        <v>160</v>
      </c>
      <c r="G384" s="22">
        <f t="shared" si="5"/>
        <v>0.99568045547421913</v>
      </c>
    </row>
    <row r="385" spans="1:7" x14ac:dyDescent="0.35">
      <c r="A385" s="13">
        <v>44531</v>
      </c>
      <c r="B385" s="14">
        <v>1485.19</v>
      </c>
      <c r="C385" s="14">
        <v>1478.44</v>
      </c>
      <c r="D385" s="14">
        <v>1487.68</v>
      </c>
      <c r="E385" s="14">
        <v>1471.3</v>
      </c>
      <c r="F385" s="23" t="s">
        <v>159</v>
      </c>
      <c r="G385" s="22">
        <f t="shared" si="5"/>
        <v>1.0045552323818769</v>
      </c>
    </row>
    <row r="386" spans="1:7" x14ac:dyDescent="0.35">
      <c r="A386" s="13">
        <v>44532</v>
      </c>
      <c r="B386" s="14">
        <v>1482.05</v>
      </c>
      <c r="C386" s="14">
        <v>1485.19</v>
      </c>
      <c r="D386" s="14">
        <v>1493.84</v>
      </c>
      <c r="E386" s="14">
        <v>1482.05</v>
      </c>
      <c r="F386" s="23" t="s">
        <v>158</v>
      </c>
      <c r="G386" s="22">
        <f t="shared" si="5"/>
        <v>0.99788355429820663</v>
      </c>
    </row>
    <row r="387" spans="1:7" x14ac:dyDescent="0.35">
      <c r="A387" s="13">
        <v>44533</v>
      </c>
      <c r="B387" s="14">
        <v>1443.32</v>
      </c>
      <c r="C387" s="14">
        <v>1482.05</v>
      </c>
      <c r="D387" s="14">
        <v>1491.2</v>
      </c>
      <c r="E387" s="14">
        <v>1443.32</v>
      </c>
      <c r="F387" s="23" t="s">
        <v>157</v>
      </c>
      <c r="G387" s="22">
        <f t="shared" si="5"/>
        <v>0.97351975093192267</v>
      </c>
    </row>
    <row r="388" spans="1:7" x14ac:dyDescent="0.35">
      <c r="A388" s="13">
        <v>44536</v>
      </c>
      <c r="B388" s="14">
        <v>1413.58</v>
      </c>
      <c r="C388" s="14">
        <v>1443.32</v>
      </c>
      <c r="D388" s="14">
        <v>1452.55</v>
      </c>
      <c r="E388" s="14">
        <v>1400.87</v>
      </c>
      <c r="F388" s="23" t="s">
        <v>99</v>
      </c>
      <c r="G388" s="22">
        <f t="shared" ref="G388:G451" si="6">LN(B388/B387)+1</f>
        <v>0.97917947822102047</v>
      </c>
    </row>
    <row r="389" spans="1:7" x14ac:dyDescent="0.35">
      <c r="A389" s="13">
        <v>44537</v>
      </c>
      <c r="B389" s="14">
        <v>1446.77</v>
      </c>
      <c r="C389" s="14">
        <v>1413.58</v>
      </c>
      <c r="D389" s="14">
        <v>1446.77</v>
      </c>
      <c r="E389" s="14">
        <v>1413.58</v>
      </c>
      <c r="F389" s="23" t="s">
        <v>156</v>
      </c>
      <c r="G389" s="22">
        <f t="shared" si="6"/>
        <v>1.0232079918153822</v>
      </c>
    </row>
    <row r="390" spans="1:7" x14ac:dyDescent="0.35">
      <c r="A390" s="13">
        <v>44538</v>
      </c>
      <c r="B390" s="14">
        <v>1452.87</v>
      </c>
      <c r="C390" s="14">
        <v>1446.77</v>
      </c>
      <c r="D390" s="14">
        <v>1460.28</v>
      </c>
      <c r="E390" s="14">
        <v>1446.77</v>
      </c>
      <c r="F390" s="23" t="s">
        <v>155</v>
      </c>
      <c r="G390" s="22">
        <f t="shared" si="6"/>
        <v>1.0042074250587867</v>
      </c>
    </row>
    <row r="391" spans="1:7" x14ac:dyDescent="0.35">
      <c r="A391" s="13">
        <v>44539</v>
      </c>
      <c r="B391" s="14">
        <v>1467.98</v>
      </c>
      <c r="C391" s="14">
        <v>1452.87</v>
      </c>
      <c r="D391" s="14">
        <v>1467.98</v>
      </c>
      <c r="E391" s="14">
        <v>1446.88</v>
      </c>
      <c r="F391" s="23" t="s">
        <v>154</v>
      </c>
      <c r="G391" s="22">
        <f t="shared" si="6"/>
        <v>1.0103463955977947</v>
      </c>
    </row>
    <row r="392" spans="1:7" x14ac:dyDescent="0.35">
      <c r="A392" s="13">
        <v>44540</v>
      </c>
      <c r="B392" s="14">
        <v>1463.54</v>
      </c>
      <c r="C392" s="14">
        <v>1467.98</v>
      </c>
      <c r="D392" s="14">
        <v>1475.85</v>
      </c>
      <c r="E392" s="14">
        <v>1461.78</v>
      </c>
      <c r="F392" s="23" t="s">
        <v>153</v>
      </c>
      <c r="G392" s="22">
        <f t="shared" si="6"/>
        <v>0.99697085239396521</v>
      </c>
    </row>
    <row r="393" spans="1:7" x14ac:dyDescent="0.35">
      <c r="A393" s="13">
        <v>44543</v>
      </c>
      <c r="B393" s="14">
        <v>1476.21</v>
      </c>
      <c r="C393" s="14">
        <v>1463.54</v>
      </c>
      <c r="D393" s="14">
        <v>1481.7</v>
      </c>
      <c r="E393" s="14">
        <v>1463.54</v>
      </c>
      <c r="F393" s="23" t="s">
        <v>152</v>
      </c>
      <c r="G393" s="22">
        <f t="shared" si="6"/>
        <v>1.0086198339654344</v>
      </c>
    </row>
    <row r="394" spans="1:7" x14ac:dyDescent="0.35">
      <c r="A394" s="13">
        <v>44544</v>
      </c>
      <c r="B394" s="14">
        <v>1476.02</v>
      </c>
      <c r="C394" s="14">
        <v>1476.21</v>
      </c>
      <c r="D394" s="14">
        <v>1485.14</v>
      </c>
      <c r="E394" s="14">
        <v>1469.21</v>
      </c>
      <c r="F394" s="23" t="s">
        <v>151</v>
      </c>
      <c r="G394" s="22">
        <f t="shared" si="6"/>
        <v>0.9998712837412651</v>
      </c>
    </row>
    <row r="395" spans="1:7" x14ac:dyDescent="0.35">
      <c r="A395" s="13">
        <v>44545</v>
      </c>
      <c r="B395" s="14">
        <v>1475.5</v>
      </c>
      <c r="C395" s="14">
        <v>1476.02</v>
      </c>
      <c r="D395" s="14">
        <v>1481.67</v>
      </c>
      <c r="E395" s="14">
        <v>1468.21</v>
      </c>
      <c r="F395" s="23" t="s">
        <v>150</v>
      </c>
      <c r="G395" s="22">
        <f t="shared" si="6"/>
        <v>0.99964763917887722</v>
      </c>
    </row>
    <row r="396" spans="1:7" x14ac:dyDescent="0.35">
      <c r="A396" s="13">
        <v>44546</v>
      </c>
      <c r="B396" s="14">
        <v>1476.61</v>
      </c>
      <c r="C396" s="14">
        <v>1475.5</v>
      </c>
      <c r="D396" s="14">
        <v>1482.32</v>
      </c>
      <c r="E396" s="14">
        <v>1468.95</v>
      </c>
      <c r="F396" s="23" t="s">
        <v>149</v>
      </c>
      <c r="G396" s="22">
        <f t="shared" si="6"/>
        <v>1.0007520045339162</v>
      </c>
    </row>
    <row r="397" spans="1:7" x14ac:dyDescent="0.35">
      <c r="A397" s="13">
        <v>44547</v>
      </c>
      <c r="B397" s="14">
        <v>1479.79</v>
      </c>
      <c r="C397" s="14">
        <v>1476.61</v>
      </c>
      <c r="D397" s="14">
        <v>1487.73</v>
      </c>
      <c r="E397" s="14">
        <v>1476.61</v>
      </c>
      <c r="F397" s="23" t="s">
        <v>148</v>
      </c>
      <c r="G397" s="22">
        <f t="shared" si="6"/>
        <v>1.0021512658817517</v>
      </c>
    </row>
    <row r="398" spans="1:7" x14ac:dyDescent="0.35">
      <c r="A398" s="13">
        <v>44550</v>
      </c>
      <c r="B398" s="14">
        <v>1477.33</v>
      </c>
      <c r="C398" s="14">
        <v>1479.79</v>
      </c>
      <c r="D398" s="14">
        <v>1483.85</v>
      </c>
      <c r="E398" s="14">
        <v>1468.88</v>
      </c>
      <c r="F398" s="23" t="s">
        <v>147</v>
      </c>
      <c r="G398" s="22">
        <f t="shared" si="6"/>
        <v>0.99833621864011302</v>
      </c>
    </row>
    <row r="399" spans="1:7" x14ac:dyDescent="0.35">
      <c r="A399" s="13">
        <v>44551</v>
      </c>
      <c r="B399" s="14">
        <v>1478.74</v>
      </c>
      <c r="C399" s="14">
        <v>1477.33</v>
      </c>
      <c r="D399" s="14">
        <v>1486.09</v>
      </c>
      <c r="E399" s="14">
        <v>1472.43</v>
      </c>
      <c r="F399" s="23" t="s">
        <v>146</v>
      </c>
      <c r="G399" s="22">
        <f t="shared" si="6"/>
        <v>1.000953969362655</v>
      </c>
    </row>
    <row r="400" spans="1:7" x14ac:dyDescent="0.35">
      <c r="A400" s="13">
        <v>44552</v>
      </c>
      <c r="B400" s="14">
        <v>1477.67</v>
      </c>
      <c r="C400" s="14">
        <v>1478.74</v>
      </c>
      <c r="D400" s="14">
        <v>1489.24</v>
      </c>
      <c r="E400" s="14">
        <v>1471.84</v>
      </c>
      <c r="F400" s="23" t="s">
        <v>85</v>
      </c>
      <c r="G400" s="22">
        <f t="shared" si="6"/>
        <v>0.99927614908167706</v>
      </c>
    </row>
    <row r="401" spans="1:7" x14ac:dyDescent="0.35">
      <c r="A401" s="13">
        <v>44553</v>
      </c>
      <c r="B401" s="14">
        <v>1456.96</v>
      </c>
      <c r="C401" s="14">
        <v>1477.67</v>
      </c>
      <c r="D401" s="14">
        <v>1481.21</v>
      </c>
      <c r="E401" s="14">
        <v>1447.14</v>
      </c>
      <c r="F401" s="23" t="s">
        <v>145</v>
      </c>
      <c r="G401" s="22">
        <f t="shared" si="6"/>
        <v>0.98588555026331037</v>
      </c>
    </row>
    <row r="402" spans="1:7" x14ac:dyDescent="0.35">
      <c r="A402" s="13">
        <v>44554</v>
      </c>
      <c r="B402" s="14">
        <v>1477.03</v>
      </c>
      <c r="C402" s="14">
        <v>1456.96</v>
      </c>
      <c r="D402" s="14">
        <v>1478.8</v>
      </c>
      <c r="E402" s="14">
        <v>1456.32</v>
      </c>
      <c r="F402" s="23" t="s">
        <v>144</v>
      </c>
      <c r="G402" s="22">
        <f t="shared" si="6"/>
        <v>1.0136812416208003</v>
      </c>
    </row>
    <row r="403" spans="1:7" x14ac:dyDescent="0.35">
      <c r="A403" s="13">
        <v>44557</v>
      </c>
      <c r="B403" s="14">
        <v>1488.88</v>
      </c>
      <c r="C403" s="14">
        <v>1477.03</v>
      </c>
      <c r="D403" s="14">
        <v>1490.12</v>
      </c>
      <c r="E403" s="14">
        <v>1469.91</v>
      </c>
      <c r="F403" s="23" t="s">
        <v>143</v>
      </c>
      <c r="G403" s="22">
        <f t="shared" si="6"/>
        <v>1.0079908446684906</v>
      </c>
    </row>
    <row r="404" spans="1:7" x14ac:dyDescent="0.35">
      <c r="A404" s="13">
        <v>44558</v>
      </c>
      <c r="B404" s="14">
        <v>1494.39</v>
      </c>
      <c r="C404" s="14">
        <v>1488.88</v>
      </c>
      <c r="D404" s="14">
        <v>1499.77</v>
      </c>
      <c r="E404" s="14">
        <v>1483.97</v>
      </c>
      <c r="F404" s="23" t="s">
        <v>142</v>
      </c>
      <c r="G404" s="22">
        <f t="shared" si="6"/>
        <v>1.0036939373676583</v>
      </c>
    </row>
    <row r="405" spans="1:7" x14ac:dyDescent="0.35">
      <c r="A405" s="13">
        <v>44559</v>
      </c>
      <c r="B405" s="14">
        <v>1485.82</v>
      </c>
      <c r="C405" s="14">
        <v>1494.39</v>
      </c>
      <c r="D405" s="14">
        <v>1498.91</v>
      </c>
      <c r="E405" s="14">
        <v>1485.82</v>
      </c>
      <c r="F405" s="23" t="s">
        <v>141</v>
      </c>
      <c r="G405" s="22">
        <f t="shared" si="6"/>
        <v>0.99424871158562289</v>
      </c>
    </row>
    <row r="406" spans="1:7" x14ac:dyDescent="0.35">
      <c r="A406" s="13">
        <v>44560</v>
      </c>
      <c r="B406" s="14">
        <v>1485.97</v>
      </c>
      <c r="C406" s="14">
        <v>1490.96</v>
      </c>
      <c r="D406" s="14">
        <v>1493.38</v>
      </c>
      <c r="E406" s="14">
        <v>1484.82</v>
      </c>
      <c r="F406" s="23" t="s">
        <v>140</v>
      </c>
      <c r="G406" s="22">
        <f t="shared" si="6"/>
        <v>1.0001009492596229</v>
      </c>
    </row>
    <row r="407" spans="1:7" x14ac:dyDescent="0.35">
      <c r="A407" s="13">
        <v>44561</v>
      </c>
      <c r="B407" s="14">
        <v>1498.28</v>
      </c>
      <c r="C407" s="14">
        <v>1485.97</v>
      </c>
      <c r="D407" s="14">
        <v>1499.07</v>
      </c>
      <c r="E407" s="14">
        <v>1485.97</v>
      </c>
      <c r="F407" s="23" t="s">
        <v>139</v>
      </c>
      <c r="G407" s="22">
        <f t="shared" si="6"/>
        <v>1.0082500258498044</v>
      </c>
    </row>
    <row r="408" spans="1:7" x14ac:dyDescent="0.35">
      <c r="A408" s="13">
        <v>44565</v>
      </c>
      <c r="B408" s="14">
        <v>1525.58</v>
      </c>
      <c r="C408" s="14">
        <v>1508.55</v>
      </c>
      <c r="D408" s="14">
        <v>1526.69</v>
      </c>
      <c r="E408" s="14">
        <v>1507.19</v>
      </c>
      <c r="F408" s="23" t="s">
        <v>138</v>
      </c>
      <c r="G408" s="22">
        <f t="shared" si="6"/>
        <v>1.0180568821056362</v>
      </c>
    </row>
    <row r="409" spans="1:7" x14ac:dyDescent="0.35">
      <c r="A409" s="13">
        <v>44566</v>
      </c>
      <c r="B409" s="14">
        <v>1522.5</v>
      </c>
      <c r="C409" s="14">
        <v>1525.58</v>
      </c>
      <c r="D409" s="14">
        <v>1535.82</v>
      </c>
      <c r="E409" s="14">
        <v>1522.5</v>
      </c>
      <c r="F409" s="23" t="s">
        <v>137</v>
      </c>
      <c r="G409" s="22">
        <f t="shared" si="6"/>
        <v>0.99797905497999873</v>
      </c>
    </row>
    <row r="410" spans="1:7" x14ac:dyDescent="0.35">
      <c r="A410" s="13">
        <v>44567</v>
      </c>
      <c r="B410" s="14">
        <v>1528.57</v>
      </c>
      <c r="C410" s="14">
        <v>1522.5</v>
      </c>
      <c r="D410" s="14">
        <v>1536.24</v>
      </c>
      <c r="E410" s="14">
        <v>1518.18</v>
      </c>
      <c r="F410" s="23" t="s">
        <v>133</v>
      </c>
      <c r="G410" s="22">
        <f t="shared" si="6"/>
        <v>1.0039789372307562</v>
      </c>
    </row>
    <row r="411" spans="1:7" x14ac:dyDescent="0.35">
      <c r="A411" s="13">
        <v>44568</v>
      </c>
      <c r="B411" s="14">
        <v>1528.48</v>
      </c>
      <c r="C411" s="14">
        <v>1534.1</v>
      </c>
      <c r="D411" s="14">
        <v>1534.52</v>
      </c>
      <c r="E411" s="14">
        <v>1524.96</v>
      </c>
      <c r="F411" s="23" t="s">
        <v>136</v>
      </c>
      <c r="G411" s="22">
        <f t="shared" si="6"/>
        <v>0.99994111970689004</v>
      </c>
    </row>
    <row r="412" spans="1:7" x14ac:dyDescent="0.35">
      <c r="A412" s="13">
        <v>44571</v>
      </c>
      <c r="B412" s="14">
        <v>1503.71</v>
      </c>
      <c r="C412" s="14">
        <v>1528.48</v>
      </c>
      <c r="D412" s="14">
        <v>1536.45</v>
      </c>
      <c r="E412" s="14">
        <v>1503.71</v>
      </c>
      <c r="F412" s="23" t="s">
        <v>135</v>
      </c>
      <c r="G412" s="22">
        <f t="shared" si="6"/>
        <v>0.9836616102471486</v>
      </c>
    </row>
    <row r="413" spans="1:7" x14ac:dyDescent="0.35">
      <c r="A413" s="13">
        <v>44572</v>
      </c>
      <c r="B413" s="14">
        <v>1492.31</v>
      </c>
      <c r="C413" s="14">
        <v>1503.71</v>
      </c>
      <c r="D413" s="14">
        <v>1512.05</v>
      </c>
      <c r="E413" s="14">
        <v>1488.4</v>
      </c>
      <c r="F413" s="23" t="s">
        <v>134</v>
      </c>
      <c r="G413" s="22">
        <f t="shared" si="6"/>
        <v>0.99238986721159272</v>
      </c>
    </row>
    <row r="414" spans="1:7" x14ac:dyDescent="0.35">
      <c r="A414" s="13">
        <v>44573</v>
      </c>
      <c r="B414" s="14">
        <v>1510.51</v>
      </c>
      <c r="C414" s="14">
        <v>1489.11</v>
      </c>
      <c r="D414" s="14">
        <v>1510.51</v>
      </c>
      <c r="E414" s="14">
        <v>1464.49</v>
      </c>
      <c r="F414" s="23" t="s">
        <v>133</v>
      </c>
      <c r="G414" s="22">
        <f t="shared" si="6"/>
        <v>1.0121220871487688</v>
      </c>
    </row>
    <row r="415" spans="1:7" x14ac:dyDescent="0.35">
      <c r="A415" s="13">
        <v>44574</v>
      </c>
      <c r="B415" s="14">
        <v>1496.05</v>
      </c>
      <c r="C415" s="14">
        <v>1510.51</v>
      </c>
      <c r="D415" s="14">
        <v>1522.6</v>
      </c>
      <c r="E415" s="14">
        <v>1495.13</v>
      </c>
      <c r="F415" s="23" t="s">
        <v>132</v>
      </c>
      <c r="G415" s="22">
        <f t="shared" si="6"/>
        <v>0.99038095930658931</v>
      </c>
    </row>
    <row r="416" spans="1:7" x14ac:dyDescent="0.35">
      <c r="A416" s="13">
        <v>44575</v>
      </c>
      <c r="B416" s="14">
        <v>1496.02</v>
      </c>
      <c r="C416" s="14">
        <v>1496.05</v>
      </c>
      <c r="D416" s="14">
        <v>1503.25</v>
      </c>
      <c r="E416" s="14">
        <v>1476.68</v>
      </c>
      <c r="F416" s="23" t="s">
        <v>131</v>
      </c>
      <c r="G416" s="22">
        <f t="shared" si="6"/>
        <v>0.99997994699321813</v>
      </c>
    </row>
    <row r="417" spans="1:7" x14ac:dyDescent="0.35">
      <c r="A417" s="13">
        <v>44578</v>
      </c>
      <c r="B417" s="14">
        <v>1452.84</v>
      </c>
      <c r="C417" s="14">
        <v>1496.02</v>
      </c>
      <c r="D417" s="14">
        <v>1503.86</v>
      </c>
      <c r="E417" s="14">
        <v>1452.84</v>
      </c>
      <c r="F417" s="23" t="s">
        <v>130</v>
      </c>
      <c r="G417" s="22">
        <f t="shared" si="6"/>
        <v>0.97071201307863342</v>
      </c>
    </row>
    <row r="418" spans="1:7" x14ac:dyDescent="0.35">
      <c r="A418" s="13">
        <v>44579</v>
      </c>
      <c r="B418" s="14">
        <v>1438.94</v>
      </c>
      <c r="C418" s="14">
        <v>1452.84</v>
      </c>
      <c r="D418" s="14">
        <v>1452.84</v>
      </c>
      <c r="E418" s="14">
        <v>1424.65</v>
      </c>
      <c r="F418" s="23" t="s">
        <v>129</v>
      </c>
      <c r="G418" s="22">
        <f t="shared" si="6"/>
        <v>0.99038646988847234</v>
      </c>
    </row>
    <row r="419" spans="1:7" x14ac:dyDescent="0.35">
      <c r="A419" s="13">
        <v>44580</v>
      </c>
      <c r="B419" s="14">
        <v>1442.79</v>
      </c>
      <c r="C419" s="14">
        <v>1438.94</v>
      </c>
      <c r="D419" s="14">
        <v>1449.11</v>
      </c>
      <c r="E419" s="14">
        <v>1434.46</v>
      </c>
      <c r="F419" s="23" t="s">
        <v>128</v>
      </c>
      <c r="G419" s="22">
        <f t="shared" si="6"/>
        <v>1.00267200764168</v>
      </c>
    </row>
    <row r="420" spans="1:7" x14ac:dyDescent="0.35">
      <c r="A420" s="13">
        <v>44581</v>
      </c>
      <c r="B420" s="14">
        <v>1465.3</v>
      </c>
      <c r="C420" s="14">
        <v>1442.79</v>
      </c>
      <c r="D420" s="14">
        <v>1469.08</v>
      </c>
      <c r="E420" s="14">
        <v>1432.58</v>
      </c>
      <c r="F420" s="23" t="s">
        <v>127</v>
      </c>
      <c r="G420" s="22">
        <f t="shared" si="6"/>
        <v>1.0154812606061778</v>
      </c>
    </row>
    <row r="421" spans="1:7" x14ac:dyDescent="0.35">
      <c r="A421" s="13">
        <v>44582</v>
      </c>
      <c r="B421" s="14">
        <v>1472.89</v>
      </c>
      <c r="C421" s="14">
        <v>1465.3</v>
      </c>
      <c r="D421" s="14">
        <v>1477.23</v>
      </c>
      <c r="E421" s="14">
        <v>1463.06</v>
      </c>
      <c r="F421" s="23" t="s">
        <v>126</v>
      </c>
      <c r="G421" s="22">
        <f t="shared" si="6"/>
        <v>1.0051664575012926</v>
      </c>
    </row>
    <row r="422" spans="1:7" x14ac:dyDescent="0.35">
      <c r="A422" s="13">
        <v>44585</v>
      </c>
      <c r="B422" s="14">
        <v>1439.71</v>
      </c>
      <c r="C422" s="14">
        <v>1472.89</v>
      </c>
      <c r="D422" s="14">
        <v>1472.89</v>
      </c>
      <c r="E422" s="14">
        <v>1432.18</v>
      </c>
      <c r="F422" s="23" t="s">
        <v>125</v>
      </c>
      <c r="G422" s="22">
        <f t="shared" si="6"/>
        <v>0.97721524725441999</v>
      </c>
    </row>
    <row r="423" spans="1:7" x14ac:dyDescent="0.35">
      <c r="A423" s="13">
        <v>44586</v>
      </c>
      <c r="B423" s="14">
        <v>1479.58</v>
      </c>
      <c r="C423" s="14">
        <v>1439.71</v>
      </c>
      <c r="D423" s="14">
        <v>1479.58</v>
      </c>
      <c r="E423" s="14">
        <v>1424.36</v>
      </c>
      <c r="F423" s="23" t="s">
        <v>124</v>
      </c>
      <c r="G423" s="22">
        <f t="shared" si="6"/>
        <v>1.0273165593004472</v>
      </c>
    </row>
    <row r="424" spans="1:7" x14ac:dyDescent="0.35">
      <c r="A424" s="13">
        <v>44587</v>
      </c>
      <c r="B424" s="14">
        <v>1481.58</v>
      </c>
      <c r="C424" s="14">
        <v>1479.58</v>
      </c>
      <c r="D424" s="14">
        <v>1490.45</v>
      </c>
      <c r="E424" s="14">
        <v>1478.41</v>
      </c>
      <c r="F424" s="23" t="s">
        <v>123</v>
      </c>
      <c r="G424" s="22">
        <f t="shared" si="6"/>
        <v>1.0013508221805778</v>
      </c>
    </row>
    <row r="425" spans="1:7" x14ac:dyDescent="0.35">
      <c r="A425" s="13">
        <v>44588</v>
      </c>
      <c r="B425" s="14">
        <v>1470.76</v>
      </c>
      <c r="C425" s="14">
        <v>1481.58</v>
      </c>
      <c r="D425" s="14">
        <v>1486.39</v>
      </c>
      <c r="E425" s="14">
        <v>1464.06</v>
      </c>
      <c r="F425" s="23" t="s">
        <v>122</v>
      </c>
      <c r="G425" s="22">
        <f t="shared" si="6"/>
        <v>0.9926701880928156</v>
      </c>
    </row>
    <row r="426" spans="1:7" x14ac:dyDescent="0.35">
      <c r="A426" s="13">
        <v>44589</v>
      </c>
      <c r="B426" s="14">
        <v>1478.96</v>
      </c>
      <c r="C426" s="14">
        <v>1470.76</v>
      </c>
      <c r="D426" s="14">
        <v>1484.48</v>
      </c>
      <c r="E426" s="14">
        <v>1465.22</v>
      </c>
      <c r="F426" s="23" t="s">
        <v>121</v>
      </c>
      <c r="G426" s="22">
        <f t="shared" si="6"/>
        <v>1.0055598640706573</v>
      </c>
    </row>
    <row r="427" spans="1:7" x14ac:dyDescent="0.35">
      <c r="A427" s="13">
        <v>44599</v>
      </c>
      <c r="B427" s="14">
        <v>1497.66</v>
      </c>
      <c r="C427" s="14">
        <v>1478.96</v>
      </c>
      <c r="D427" s="14">
        <v>1505.69</v>
      </c>
      <c r="E427" s="14">
        <v>1478.96</v>
      </c>
      <c r="F427" s="23" t="s">
        <v>120</v>
      </c>
      <c r="G427" s="22">
        <f t="shared" si="6"/>
        <v>1.012564751979157</v>
      </c>
    </row>
    <row r="428" spans="1:7" x14ac:dyDescent="0.35">
      <c r="A428" s="13">
        <v>44600</v>
      </c>
      <c r="B428" s="14">
        <v>1500.99</v>
      </c>
      <c r="C428" s="14">
        <v>1497.66</v>
      </c>
      <c r="D428" s="14">
        <v>1503.33</v>
      </c>
      <c r="E428" s="14">
        <v>1491.78</v>
      </c>
      <c r="F428" s="23" t="s">
        <v>119</v>
      </c>
      <c r="G428" s="22">
        <f t="shared" si="6"/>
        <v>1.002221000362739</v>
      </c>
    </row>
    <row r="429" spans="1:7" x14ac:dyDescent="0.35">
      <c r="A429" s="13">
        <v>44601</v>
      </c>
      <c r="B429" s="14">
        <v>1505.38</v>
      </c>
      <c r="C429" s="14">
        <v>1500.99</v>
      </c>
      <c r="D429" s="14">
        <v>1511.72</v>
      </c>
      <c r="E429" s="14">
        <v>1499.53</v>
      </c>
      <c r="F429" s="23" t="s">
        <v>118</v>
      </c>
      <c r="G429" s="22">
        <f t="shared" si="6"/>
        <v>1.0029204676205792</v>
      </c>
    </row>
    <row r="430" spans="1:7" x14ac:dyDescent="0.35">
      <c r="A430" s="13">
        <v>44602</v>
      </c>
      <c r="B430" s="14">
        <v>1506.79</v>
      </c>
      <c r="C430" s="14">
        <v>1510.66</v>
      </c>
      <c r="D430" s="14">
        <v>1512.88</v>
      </c>
      <c r="E430" s="14">
        <v>1495.7</v>
      </c>
      <c r="F430" s="23" t="s">
        <v>117</v>
      </c>
      <c r="G430" s="22">
        <f t="shared" si="6"/>
        <v>1.0009362022083652</v>
      </c>
    </row>
    <row r="431" spans="1:7" x14ac:dyDescent="0.35">
      <c r="A431" s="13">
        <v>44603</v>
      </c>
      <c r="B431" s="14">
        <v>1501.71</v>
      </c>
      <c r="C431" s="14">
        <v>1506.79</v>
      </c>
      <c r="D431" s="14">
        <v>1508.54</v>
      </c>
      <c r="E431" s="14">
        <v>1499.06</v>
      </c>
      <c r="F431" s="23" t="s">
        <v>116</v>
      </c>
      <c r="G431" s="22">
        <f t="shared" si="6"/>
        <v>0.99662289856869735</v>
      </c>
    </row>
    <row r="432" spans="1:7" x14ac:dyDescent="0.35">
      <c r="A432" s="13">
        <v>44606</v>
      </c>
      <c r="B432" s="14">
        <v>1471.96</v>
      </c>
      <c r="C432" s="14">
        <v>1501.71</v>
      </c>
      <c r="D432" s="14">
        <v>1501.71</v>
      </c>
      <c r="E432" s="14">
        <v>1471.96</v>
      </c>
      <c r="F432" s="23" t="s">
        <v>115</v>
      </c>
      <c r="G432" s="22">
        <f t="shared" si="6"/>
        <v>0.97999038722283305</v>
      </c>
    </row>
    <row r="433" spans="1:7" x14ac:dyDescent="0.35">
      <c r="A433" s="13">
        <v>44607</v>
      </c>
      <c r="B433" s="14">
        <v>1492.75</v>
      </c>
      <c r="C433" s="14">
        <v>1471.96</v>
      </c>
      <c r="D433" s="14">
        <v>1495.56</v>
      </c>
      <c r="E433" s="14">
        <v>1470.06</v>
      </c>
      <c r="F433" s="23" t="s">
        <v>114</v>
      </c>
      <c r="G433" s="22">
        <f t="shared" si="6"/>
        <v>1.0140252104205412</v>
      </c>
    </row>
    <row r="434" spans="1:7" x14ac:dyDescent="0.35">
      <c r="A434" s="13">
        <v>44608</v>
      </c>
      <c r="B434" s="14">
        <v>1492.1</v>
      </c>
      <c r="C434" s="14">
        <v>1492.75</v>
      </c>
      <c r="D434" s="14">
        <v>1499.5</v>
      </c>
      <c r="E434" s="14">
        <v>1486.68</v>
      </c>
      <c r="F434" s="23" t="s">
        <v>113</v>
      </c>
      <c r="G434" s="22">
        <f t="shared" si="6"/>
        <v>0.99956446721927406</v>
      </c>
    </row>
    <row r="435" spans="1:7" x14ac:dyDescent="0.35">
      <c r="A435" s="13">
        <v>44609</v>
      </c>
      <c r="B435" s="14">
        <v>1507.99</v>
      </c>
      <c r="C435" s="14">
        <v>1492.1</v>
      </c>
      <c r="D435" s="14">
        <v>1507.99</v>
      </c>
      <c r="E435" s="14">
        <v>1492.1</v>
      </c>
      <c r="F435" s="23" t="s">
        <v>112</v>
      </c>
      <c r="G435" s="22">
        <f t="shared" si="6"/>
        <v>1.0105931145998035</v>
      </c>
    </row>
    <row r="436" spans="1:7" x14ac:dyDescent="0.35">
      <c r="A436" s="13">
        <v>44610</v>
      </c>
      <c r="B436" s="14">
        <v>1504.84</v>
      </c>
      <c r="C436" s="14">
        <v>1507.99</v>
      </c>
      <c r="D436" s="14">
        <v>1507.99</v>
      </c>
      <c r="E436" s="14">
        <v>1492.38</v>
      </c>
      <c r="F436" s="23" t="s">
        <v>111</v>
      </c>
      <c r="G436" s="22">
        <f t="shared" si="6"/>
        <v>0.99790894199288538</v>
      </c>
    </row>
    <row r="437" spans="1:7" x14ac:dyDescent="0.35">
      <c r="A437" s="13">
        <v>44613</v>
      </c>
      <c r="B437" s="14">
        <v>1510.84</v>
      </c>
      <c r="C437" s="14">
        <v>1504.84</v>
      </c>
      <c r="D437" s="14">
        <v>1516.63</v>
      </c>
      <c r="E437" s="14">
        <v>1500.97</v>
      </c>
      <c r="F437" s="23" t="s">
        <v>110</v>
      </c>
      <c r="G437" s="22">
        <f t="shared" si="6"/>
        <v>1.0039792072879372</v>
      </c>
    </row>
    <row r="438" spans="1:7" x14ac:dyDescent="0.35">
      <c r="A438" s="13">
        <v>44614</v>
      </c>
      <c r="B438" s="14">
        <v>1503.47</v>
      </c>
      <c r="C438" s="14">
        <v>1510.84</v>
      </c>
      <c r="D438" s="14">
        <v>1510.84</v>
      </c>
      <c r="E438" s="14">
        <v>1484.81</v>
      </c>
      <c r="F438" s="23" t="s">
        <v>109</v>
      </c>
      <c r="G438" s="22">
        <f t="shared" si="6"/>
        <v>0.99510998226054037</v>
      </c>
    </row>
    <row r="439" spans="1:7" x14ac:dyDescent="0.35">
      <c r="A439" s="13">
        <v>44615</v>
      </c>
      <c r="B439" s="14">
        <v>1512.3</v>
      </c>
      <c r="C439" s="14">
        <v>1503.47</v>
      </c>
      <c r="D439" s="14">
        <v>1520.78</v>
      </c>
      <c r="E439" s="14">
        <v>1503.47</v>
      </c>
      <c r="F439" s="23" t="s">
        <v>108</v>
      </c>
      <c r="G439" s="22">
        <f t="shared" si="6"/>
        <v>1.0058559009691523</v>
      </c>
    </row>
    <row r="440" spans="1:7" x14ac:dyDescent="0.35">
      <c r="A440" s="13">
        <v>44616</v>
      </c>
      <c r="B440" s="14">
        <v>1494.85</v>
      </c>
      <c r="C440" s="14">
        <v>1512.3</v>
      </c>
      <c r="D440" s="14">
        <v>1513.25</v>
      </c>
      <c r="E440" s="14">
        <v>1473.76</v>
      </c>
      <c r="F440" s="23" t="s">
        <v>107</v>
      </c>
      <c r="G440" s="22">
        <f t="shared" si="6"/>
        <v>0.98839419658609384</v>
      </c>
    </row>
    <row r="441" spans="1:7" x14ac:dyDescent="0.35">
      <c r="A441" s="13">
        <v>44617</v>
      </c>
      <c r="B441" s="14">
        <v>1498.89</v>
      </c>
      <c r="C441" s="14">
        <v>1494.85</v>
      </c>
      <c r="D441" s="14">
        <v>1512.05</v>
      </c>
      <c r="E441" s="14">
        <v>1494.85</v>
      </c>
      <c r="F441" s="23" t="s">
        <v>106</v>
      </c>
      <c r="G441" s="22">
        <f t="shared" si="6"/>
        <v>1.0026989668123631</v>
      </c>
    </row>
    <row r="442" spans="1:7" x14ac:dyDescent="0.35">
      <c r="A442" s="13">
        <v>44620</v>
      </c>
      <c r="B442" s="14">
        <v>1490.13</v>
      </c>
      <c r="C442" s="14">
        <v>1498.89</v>
      </c>
      <c r="D442" s="14">
        <v>1502.36</v>
      </c>
      <c r="E442" s="14">
        <v>1487.57</v>
      </c>
      <c r="F442" s="23" t="s">
        <v>105</v>
      </c>
      <c r="G442" s="22">
        <f t="shared" si="6"/>
        <v>0.9941385303005873</v>
      </c>
    </row>
    <row r="443" spans="1:7" x14ac:dyDescent="0.35">
      <c r="A443" s="13">
        <v>44621</v>
      </c>
      <c r="B443" s="14">
        <v>1498.78</v>
      </c>
      <c r="C443" s="14">
        <v>1490.13</v>
      </c>
      <c r="D443" s="14">
        <v>1501.73</v>
      </c>
      <c r="E443" s="14">
        <v>1490.13</v>
      </c>
      <c r="F443" s="23" t="s">
        <v>104</v>
      </c>
      <c r="G443" s="22">
        <f t="shared" si="6"/>
        <v>1.0057880793662208</v>
      </c>
    </row>
    <row r="444" spans="1:7" x14ac:dyDescent="0.35">
      <c r="A444" s="13">
        <v>44622</v>
      </c>
      <c r="B444" s="14">
        <v>1485.52</v>
      </c>
      <c r="C444" s="14">
        <v>1499.37</v>
      </c>
      <c r="D444" s="14">
        <v>1500.41</v>
      </c>
      <c r="E444" s="14">
        <v>1479.55</v>
      </c>
      <c r="F444" s="23" t="s">
        <v>103</v>
      </c>
      <c r="G444" s="22">
        <f t="shared" si="6"/>
        <v>0.99111343547038011</v>
      </c>
    </row>
    <row r="445" spans="1:7" x14ac:dyDescent="0.35">
      <c r="A445" s="13">
        <v>44623</v>
      </c>
      <c r="B445" s="14">
        <v>1505</v>
      </c>
      <c r="C445" s="14">
        <v>1485.52</v>
      </c>
      <c r="D445" s="14">
        <v>1505</v>
      </c>
      <c r="E445" s="14">
        <v>1485.52</v>
      </c>
      <c r="F445" s="23" t="s">
        <v>102</v>
      </c>
      <c r="G445" s="22">
        <f t="shared" si="6"/>
        <v>1.013028018890636</v>
      </c>
    </row>
    <row r="446" spans="1:7" x14ac:dyDescent="0.35">
      <c r="A446" s="13">
        <v>44624</v>
      </c>
      <c r="B446" s="14">
        <v>1505.33</v>
      </c>
      <c r="C446" s="14">
        <v>1505</v>
      </c>
      <c r="D446" s="14">
        <v>1509.19</v>
      </c>
      <c r="E446" s="14">
        <v>1501.39</v>
      </c>
      <c r="F446" s="23" t="s">
        <v>101</v>
      </c>
      <c r="G446" s="22">
        <f t="shared" si="6"/>
        <v>1.0002192450670337</v>
      </c>
    </row>
    <row r="447" spans="1:7" x14ac:dyDescent="0.35">
      <c r="A447" s="13">
        <v>44627</v>
      </c>
      <c r="B447" s="14">
        <v>1499.05</v>
      </c>
      <c r="C447" s="14">
        <v>1505.33</v>
      </c>
      <c r="D447" s="14">
        <v>1505.33</v>
      </c>
      <c r="E447" s="14">
        <v>1493.87</v>
      </c>
      <c r="F447" s="23" t="s">
        <v>100</v>
      </c>
      <c r="G447" s="22">
        <f t="shared" si="6"/>
        <v>0.99581943086668345</v>
      </c>
    </row>
    <row r="448" spans="1:7" x14ac:dyDescent="0.35">
      <c r="A448" s="13">
        <v>44628</v>
      </c>
      <c r="B448" s="14">
        <v>1473.71</v>
      </c>
      <c r="C448" s="14">
        <v>1499.05</v>
      </c>
      <c r="D448" s="14">
        <v>1499.05</v>
      </c>
      <c r="E448" s="14">
        <v>1473.71</v>
      </c>
      <c r="F448" s="23" t="s">
        <v>99</v>
      </c>
      <c r="G448" s="22">
        <f t="shared" si="6"/>
        <v>0.98295145672108408</v>
      </c>
    </row>
    <row r="449" spans="1:7" x14ac:dyDescent="0.35">
      <c r="A449" s="13">
        <v>44629</v>
      </c>
      <c r="B449" s="14">
        <v>1473.74</v>
      </c>
      <c r="C449" s="14">
        <v>1473.71</v>
      </c>
      <c r="D449" s="14">
        <v>1482.86</v>
      </c>
      <c r="E449" s="14">
        <v>1462.8</v>
      </c>
      <c r="F449" s="23" t="s">
        <v>98</v>
      </c>
      <c r="G449" s="22">
        <f t="shared" si="6"/>
        <v>1.0000203565794168</v>
      </c>
    </row>
    <row r="450" spans="1:7" x14ac:dyDescent="0.35">
      <c r="A450" s="13">
        <v>44630</v>
      </c>
      <c r="B450" s="14">
        <v>1479.08</v>
      </c>
      <c r="C450" s="14">
        <v>1473.74</v>
      </c>
      <c r="D450" s="14">
        <v>1488.59</v>
      </c>
      <c r="E450" s="14">
        <v>1473.74</v>
      </c>
      <c r="F450" s="23" t="s">
        <v>97</v>
      </c>
      <c r="G450" s="22">
        <f t="shared" si="6"/>
        <v>1.0036168854325198</v>
      </c>
    </row>
    <row r="451" spans="1:7" x14ac:dyDescent="0.35">
      <c r="A451" s="13">
        <v>44631</v>
      </c>
      <c r="B451" s="14">
        <v>1466.54</v>
      </c>
      <c r="C451" s="14">
        <v>1479.08</v>
      </c>
      <c r="D451" s="14">
        <v>1480.29</v>
      </c>
      <c r="E451" s="14">
        <v>1458.88</v>
      </c>
      <c r="F451" s="23" t="s">
        <v>96</v>
      </c>
      <c r="G451" s="22">
        <f t="shared" si="6"/>
        <v>0.99148561202261176</v>
      </c>
    </row>
    <row r="452" spans="1:7" x14ac:dyDescent="0.35">
      <c r="A452" s="13">
        <v>44634</v>
      </c>
      <c r="B452" s="14">
        <v>1446.25</v>
      </c>
      <c r="C452" s="14">
        <v>1466.54</v>
      </c>
      <c r="D452" s="14">
        <v>1466.54</v>
      </c>
      <c r="E452" s="14">
        <v>1439.19</v>
      </c>
      <c r="F452" s="23" t="s">
        <v>95</v>
      </c>
      <c r="G452" s="22">
        <f t="shared" ref="G452:G502" si="7">LN(B452/B451)+1</f>
        <v>0.98606811463556077</v>
      </c>
    </row>
    <row r="453" spans="1:7" x14ac:dyDescent="0.35">
      <c r="A453" s="13">
        <v>44635</v>
      </c>
      <c r="B453" s="14">
        <v>1452.74</v>
      </c>
      <c r="C453" s="14">
        <v>1446.25</v>
      </c>
      <c r="D453" s="14">
        <v>1453.07</v>
      </c>
      <c r="E453" s="14">
        <v>1437.27</v>
      </c>
      <c r="F453" s="23" t="s">
        <v>94</v>
      </c>
      <c r="G453" s="22">
        <f t="shared" si="7"/>
        <v>1.0044774289268208</v>
      </c>
    </row>
    <row r="454" spans="1:7" x14ac:dyDescent="0.35">
      <c r="A454" s="13">
        <v>44636</v>
      </c>
      <c r="B454" s="14">
        <v>1459.33</v>
      </c>
      <c r="C454" s="14">
        <v>1452.74</v>
      </c>
      <c r="D454" s="14">
        <v>1462.98</v>
      </c>
      <c r="E454" s="14">
        <v>1452.74</v>
      </c>
      <c r="F454" s="23" t="s">
        <v>93</v>
      </c>
      <c r="G454" s="22">
        <f t="shared" si="7"/>
        <v>1.0045259978293699</v>
      </c>
    </row>
    <row r="455" spans="1:7" x14ac:dyDescent="0.35">
      <c r="A455" s="13">
        <v>44637</v>
      </c>
      <c r="B455" s="14">
        <v>1461.34</v>
      </c>
      <c r="C455" s="14">
        <v>1459.33</v>
      </c>
      <c r="D455" s="14">
        <v>1467.74</v>
      </c>
      <c r="E455" s="14">
        <v>1459.14</v>
      </c>
      <c r="F455" s="23" t="s">
        <v>92</v>
      </c>
      <c r="G455" s="22">
        <f t="shared" si="7"/>
        <v>1.0013763967290543</v>
      </c>
    </row>
    <row r="456" spans="1:7" x14ac:dyDescent="0.35">
      <c r="A456" s="13">
        <v>44638</v>
      </c>
      <c r="B456" s="14">
        <v>1469.1</v>
      </c>
      <c r="C456" s="14">
        <v>1461.34</v>
      </c>
      <c r="D456" s="14">
        <v>1474.86</v>
      </c>
      <c r="E456" s="14">
        <v>1461.34</v>
      </c>
      <c r="F456" s="23" t="s">
        <v>91</v>
      </c>
      <c r="G456" s="22">
        <f t="shared" si="7"/>
        <v>1.0052961453832501</v>
      </c>
    </row>
    <row r="457" spans="1:7" x14ac:dyDescent="0.35">
      <c r="A457" s="13">
        <v>44641</v>
      </c>
      <c r="B457" s="14">
        <v>1494.95</v>
      </c>
      <c r="C457" s="14">
        <v>1474.78</v>
      </c>
      <c r="D457" s="14">
        <v>1494.95</v>
      </c>
      <c r="E457" s="14">
        <v>1474.38</v>
      </c>
      <c r="F457" s="23" t="s">
        <v>90</v>
      </c>
      <c r="G457" s="22">
        <f t="shared" si="7"/>
        <v>1.0174427930730616</v>
      </c>
    </row>
    <row r="458" spans="1:7" x14ac:dyDescent="0.35">
      <c r="A458" s="13">
        <v>44642</v>
      </c>
      <c r="B458" s="14">
        <v>1503.78</v>
      </c>
      <c r="C458" s="14">
        <v>1494.95</v>
      </c>
      <c r="D458" s="14">
        <v>1507.71</v>
      </c>
      <c r="E458" s="14">
        <v>1494.95</v>
      </c>
      <c r="F458" s="23" t="s">
        <v>89</v>
      </c>
      <c r="G458" s="22">
        <f t="shared" si="7"/>
        <v>1.0058891767651328</v>
      </c>
    </row>
    <row r="459" spans="1:7" x14ac:dyDescent="0.35">
      <c r="A459" s="13">
        <v>44643</v>
      </c>
      <c r="B459" s="14">
        <v>1502.34</v>
      </c>
      <c r="C459" s="14">
        <v>1503.78</v>
      </c>
      <c r="D459" s="14">
        <v>1513.9</v>
      </c>
      <c r="E459" s="14">
        <v>1501.67</v>
      </c>
      <c r="F459" s="23" t="s">
        <v>88</v>
      </c>
      <c r="G459" s="22">
        <f t="shared" si="7"/>
        <v>0.99904195433971887</v>
      </c>
    </row>
    <row r="460" spans="1:7" x14ac:dyDescent="0.35">
      <c r="A460" s="13">
        <v>44644</v>
      </c>
      <c r="B460" s="14">
        <v>1498.26</v>
      </c>
      <c r="C460" s="14">
        <v>1502.34</v>
      </c>
      <c r="D460" s="14">
        <v>1505.39</v>
      </c>
      <c r="E460" s="14">
        <v>1495.18</v>
      </c>
      <c r="F460" s="23" t="s">
        <v>87</v>
      </c>
      <c r="G460" s="22">
        <f t="shared" si="7"/>
        <v>0.99728054221525508</v>
      </c>
    </row>
    <row r="461" spans="1:7" x14ac:dyDescent="0.35">
      <c r="A461" s="13">
        <v>44645</v>
      </c>
      <c r="B461" s="14">
        <v>1498.5</v>
      </c>
      <c r="C461" s="14">
        <v>1500.17</v>
      </c>
      <c r="D461" s="14">
        <v>1503.29</v>
      </c>
      <c r="E461" s="14">
        <v>1494.55</v>
      </c>
      <c r="F461" s="23" t="s">
        <v>86</v>
      </c>
      <c r="G461" s="22">
        <f t="shared" si="7"/>
        <v>1.0001601729871681</v>
      </c>
    </row>
    <row r="462" spans="1:7" x14ac:dyDescent="0.35">
      <c r="A462" s="13">
        <v>44648</v>
      </c>
      <c r="B462" s="14">
        <v>1483.18</v>
      </c>
      <c r="C462" s="14">
        <v>1498.5</v>
      </c>
      <c r="D462" s="14">
        <v>1498.5</v>
      </c>
      <c r="E462" s="14">
        <v>1473.8</v>
      </c>
      <c r="F462" s="23" t="s">
        <v>85</v>
      </c>
      <c r="G462" s="22">
        <f t="shared" si="7"/>
        <v>0.98972382360581357</v>
      </c>
    </row>
    <row r="463" spans="1:7" x14ac:dyDescent="0.35">
      <c r="A463" s="13">
        <v>44649</v>
      </c>
      <c r="B463" s="14">
        <v>1497.76</v>
      </c>
      <c r="C463" s="14">
        <v>1483.18</v>
      </c>
      <c r="D463" s="14">
        <v>1498.45</v>
      </c>
      <c r="E463" s="14">
        <v>1483.18</v>
      </c>
      <c r="F463" s="23" t="s">
        <v>84</v>
      </c>
      <c r="G463" s="22">
        <f t="shared" si="7"/>
        <v>1.0097822272609029</v>
      </c>
    </row>
    <row r="464" spans="1:7" x14ac:dyDescent="0.35">
      <c r="A464" s="13">
        <v>44650</v>
      </c>
      <c r="B464" s="14">
        <v>1490.51</v>
      </c>
      <c r="C464" s="14">
        <v>1497.76</v>
      </c>
      <c r="D464" s="14">
        <v>1503.89</v>
      </c>
      <c r="E464" s="14">
        <v>1483.9</v>
      </c>
      <c r="F464" s="23" t="s">
        <v>83</v>
      </c>
      <c r="G464" s="22">
        <f t="shared" si="7"/>
        <v>0.99514768463018599</v>
      </c>
    </row>
    <row r="465" spans="1:7" x14ac:dyDescent="0.35">
      <c r="A465" s="13">
        <v>44651</v>
      </c>
      <c r="B465" s="14">
        <v>1492.15</v>
      </c>
      <c r="C465" s="14">
        <v>1490.51</v>
      </c>
      <c r="D465" s="14">
        <v>1498.41</v>
      </c>
      <c r="E465" s="14">
        <v>1488.27</v>
      </c>
      <c r="F465" s="23" t="s">
        <v>82</v>
      </c>
      <c r="G465" s="22">
        <f t="shared" si="7"/>
        <v>1.0010996896496909</v>
      </c>
    </row>
    <row r="466" spans="1:7" x14ac:dyDescent="0.35">
      <c r="A466" s="13">
        <v>44652</v>
      </c>
      <c r="B466" s="14">
        <v>1516.44</v>
      </c>
      <c r="C466" s="14">
        <v>1492.15</v>
      </c>
      <c r="D466" s="14">
        <v>1516.87</v>
      </c>
      <c r="E466" s="14">
        <v>1484.13</v>
      </c>
      <c r="F466" s="23" t="s">
        <v>81</v>
      </c>
      <c r="G466" s="22">
        <f t="shared" si="7"/>
        <v>1.0161474496552783</v>
      </c>
    </row>
    <row r="467" spans="1:7" x14ac:dyDescent="0.35">
      <c r="A467" s="13">
        <v>44655</v>
      </c>
      <c r="B467" s="14">
        <v>1524.7</v>
      </c>
      <c r="C467" s="14">
        <v>1516.44</v>
      </c>
      <c r="D467" s="14">
        <v>1530.95</v>
      </c>
      <c r="E467" s="14">
        <v>1516.44</v>
      </c>
      <c r="F467" s="23" t="s">
        <v>80</v>
      </c>
      <c r="G467" s="22">
        <f t="shared" si="7"/>
        <v>1.0054321868192717</v>
      </c>
    </row>
    <row r="468" spans="1:7" x14ac:dyDescent="0.35">
      <c r="A468" s="13">
        <v>44656</v>
      </c>
      <c r="B468" s="14">
        <v>1520.03</v>
      </c>
      <c r="C468" s="14">
        <v>1524.7</v>
      </c>
      <c r="D468" s="14">
        <v>1527.57</v>
      </c>
      <c r="E468" s="14">
        <v>1519.28</v>
      </c>
      <c r="F468" s="23" t="s">
        <v>79</v>
      </c>
      <c r="G468" s="22">
        <f t="shared" si="7"/>
        <v>0.99693240210979694</v>
      </c>
    </row>
    <row r="469" spans="1:7" x14ac:dyDescent="0.35">
      <c r="A469" s="13">
        <v>44657</v>
      </c>
      <c r="B469" s="14">
        <v>1522.9</v>
      </c>
      <c r="C469" s="14">
        <v>1520.03</v>
      </c>
      <c r="D469" s="14">
        <v>1523.75</v>
      </c>
      <c r="E469" s="14">
        <v>1507.62</v>
      </c>
      <c r="F469" s="23" t="s">
        <v>78</v>
      </c>
      <c r="G469" s="22">
        <f t="shared" si="7"/>
        <v>1.0018863403699867</v>
      </c>
    </row>
    <row r="470" spans="1:7" x14ac:dyDescent="0.35">
      <c r="A470" s="13">
        <v>44658</v>
      </c>
      <c r="B470" s="14">
        <v>1502.35</v>
      </c>
      <c r="C470" s="14">
        <v>1522.9</v>
      </c>
      <c r="D470" s="14">
        <v>1524.92</v>
      </c>
      <c r="E470" s="14">
        <v>1502.35</v>
      </c>
      <c r="F470" s="23" t="s">
        <v>77</v>
      </c>
      <c r="G470" s="22">
        <f t="shared" si="7"/>
        <v>0.9864141369573618</v>
      </c>
    </row>
    <row r="471" spans="1:7" x14ac:dyDescent="0.35">
      <c r="A471" s="13">
        <v>44659</v>
      </c>
      <c r="B471" s="14">
        <v>1482</v>
      </c>
      <c r="C471" s="14">
        <v>1502.35</v>
      </c>
      <c r="D471" s="14">
        <v>1507.73</v>
      </c>
      <c r="E471" s="14">
        <v>1482</v>
      </c>
      <c r="F471" s="23" t="s">
        <v>76</v>
      </c>
      <c r="G471" s="22">
        <f t="shared" si="7"/>
        <v>0.9863619780410251</v>
      </c>
    </row>
    <row r="472" spans="1:7" x14ac:dyDescent="0.35">
      <c r="A472" s="13">
        <v>44663</v>
      </c>
      <c r="B472" s="14">
        <v>1455.25</v>
      </c>
      <c r="C472" s="14">
        <v>1482</v>
      </c>
      <c r="D472" s="14">
        <v>1490.58</v>
      </c>
      <c r="E472" s="14">
        <v>1455.25</v>
      </c>
      <c r="F472" s="23" t="s">
        <v>75</v>
      </c>
      <c r="G472" s="22">
        <f t="shared" si="7"/>
        <v>0.98178518029581263</v>
      </c>
    </row>
    <row r="473" spans="1:7" x14ac:dyDescent="0.35">
      <c r="A473" s="13">
        <v>44664</v>
      </c>
      <c r="B473" s="14">
        <v>1477.2</v>
      </c>
      <c r="C473" s="14">
        <v>1455.25</v>
      </c>
      <c r="D473" s="14">
        <v>1477.2</v>
      </c>
      <c r="E473" s="14">
        <v>1448.52</v>
      </c>
      <c r="F473" s="23" t="s">
        <v>74</v>
      </c>
      <c r="G473" s="22">
        <f t="shared" si="7"/>
        <v>1.0149706968265633</v>
      </c>
    </row>
    <row r="474" spans="1:7" x14ac:dyDescent="0.35">
      <c r="A474" s="13">
        <v>44665</v>
      </c>
      <c r="B474" s="14">
        <v>1472.12</v>
      </c>
      <c r="C474" s="14">
        <v>1477.2</v>
      </c>
      <c r="D474" s="14">
        <v>1484.34</v>
      </c>
      <c r="E474" s="14">
        <v>1471.75</v>
      </c>
      <c r="F474" s="23" t="s">
        <v>73</v>
      </c>
      <c r="G474" s="22">
        <f t="shared" si="7"/>
        <v>0.99655513472682733</v>
      </c>
    </row>
    <row r="475" spans="1:7" x14ac:dyDescent="0.35">
      <c r="A475" s="13">
        <v>44666</v>
      </c>
      <c r="B475" s="14">
        <v>1458.56</v>
      </c>
      <c r="C475" s="14">
        <v>1472.12</v>
      </c>
      <c r="D475" s="14">
        <v>1478.95</v>
      </c>
      <c r="E475" s="14">
        <v>1456.39</v>
      </c>
      <c r="F475" s="23" t="s">
        <v>72</v>
      </c>
      <c r="G475" s="22">
        <f t="shared" si="7"/>
        <v>0.99074610891202919</v>
      </c>
    </row>
    <row r="476" spans="1:7" x14ac:dyDescent="0.35">
      <c r="A476" s="13">
        <v>44669</v>
      </c>
      <c r="B476" s="14">
        <v>1432.6</v>
      </c>
      <c r="C476" s="14">
        <v>1458.56</v>
      </c>
      <c r="D476" s="14">
        <v>1458.56</v>
      </c>
      <c r="E476" s="14">
        <v>1425.07</v>
      </c>
      <c r="F476" s="23" t="s">
        <v>71</v>
      </c>
      <c r="G476" s="22">
        <f t="shared" si="7"/>
        <v>0.98204132756308604</v>
      </c>
    </row>
    <row r="477" spans="1:7" x14ac:dyDescent="0.35">
      <c r="A477" s="13">
        <v>44670</v>
      </c>
      <c r="B477" s="14">
        <v>1406.45</v>
      </c>
      <c r="C477" s="14">
        <v>1432.6</v>
      </c>
      <c r="D477" s="14">
        <v>1442.04</v>
      </c>
      <c r="E477" s="14">
        <v>1406.45</v>
      </c>
      <c r="F477" s="23" t="s">
        <v>70</v>
      </c>
      <c r="G477" s="22">
        <f t="shared" si="7"/>
        <v>0.98157782388198023</v>
      </c>
    </row>
    <row r="478" spans="1:7" x14ac:dyDescent="0.35">
      <c r="A478" s="13">
        <v>44671</v>
      </c>
      <c r="B478" s="14">
        <v>1384.72</v>
      </c>
      <c r="C478" s="14">
        <v>1401.63</v>
      </c>
      <c r="D478" s="14">
        <v>1410.64</v>
      </c>
      <c r="E478" s="14">
        <v>1384.72</v>
      </c>
      <c r="F478" s="23" t="s">
        <v>69</v>
      </c>
      <c r="G478" s="22">
        <f t="shared" si="7"/>
        <v>0.98442915405581233</v>
      </c>
    </row>
    <row r="479" spans="1:7" x14ac:dyDescent="0.35">
      <c r="A479" s="13">
        <v>44672</v>
      </c>
      <c r="B479" s="14">
        <v>1370.21</v>
      </c>
      <c r="C479" s="14">
        <v>1384.72</v>
      </c>
      <c r="D479" s="14">
        <v>1392.33</v>
      </c>
      <c r="E479" s="14">
        <v>1356.58</v>
      </c>
      <c r="F479" s="23" t="s">
        <v>68</v>
      </c>
      <c r="G479" s="22">
        <f t="shared" si="7"/>
        <v>0.9894660596286653</v>
      </c>
    </row>
    <row r="480" spans="1:7" x14ac:dyDescent="0.35">
      <c r="A480" s="13">
        <v>44673</v>
      </c>
      <c r="B480" s="14">
        <v>1379.23</v>
      </c>
      <c r="C480" s="14">
        <v>1370.21</v>
      </c>
      <c r="D480" s="14">
        <v>1392.89</v>
      </c>
      <c r="E480" s="14">
        <v>1352.43</v>
      </c>
      <c r="F480" s="23" t="s">
        <v>67</v>
      </c>
      <c r="G480" s="22">
        <f t="shared" si="7"/>
        <v>1.0065613596661935</v>
      </c>
    </row>
    <row r="481" spans="1:7" x14ac:dyDescent="0.35">
      <c r="A481" s="13">
        <v>44676</v>
      </c>
      <c r="B481" s="14">
        <v>1310.92</v>
      </c>
      <c r="C481" s="14">
        <v>1379.23</v>
      </c>
      <c r="D481" s="14">
        <v>1382.13</v>
      </c>
      <c r="E481" s="14">
        <v>1298.3800000000001</v>
      </c>
      <c r="F481" s="23" t="s">
        <v>66</v>
      </c>
      <c r="G481" s="22">
        <f t="shared" si="7"/>
        <v>0.94920380836825369</v>
      </c>
    </row>
    <row r="482" spans="1:7" x14ac:dyDescent="0.35">
      <c r="A482" s="13">
        <v>44677</v>
      </c>
      <c r="B482" s="14">
        <v>1341.34</v>
      </c>
      <c r="C482" s="14">
        <v>1310.92</v>
      </c>
      <c r="D482" s="14">
        <v>1341.34</v>
      </c>
      <c r="E482" s="14">
        <v>1261.4000000000001</v>
      </c>
      <c r="F482" s="23" t="s">
        <v>65</v>
      </c>
      <c r="G482" s="22">
        <f t="shared" si="7"/>
        <v>1.0229399334967846</v>
      </c>
    </row>
    <row r="483" spans="1:7" x14ac:dyDescent="0.35">
      <c r="A483" s="13">
        <v>44678</v>
      </c>
      <c r="B483" s="14">
        <v>1353.77</v>
      </c>
      <c r="C483" s="14">
        <v>1341.34</v>
      </c>
      <c r="D483" s="14">
        <v>1355.92</v>
      </c>
      <c r="E483" s="14">
        <v>1314.81</v>
      </c>
      <c r="F483" s="23" t="s">
        <v>64</v>
      </c>
      <c r="G483" s="22">
        <f t="shared" si="7"/>
        <v>1.0092241787045753</v>
      </c>
    </row>
    <row r="484" spans="1:7" x14ac:dyDescent="0.35">
      <c r="A484" s="13">
        <v>44679</v>
      </c>
      <c r="B484" s="14">
        <v>1350.99</v>
      </c>
      <c r="C484" s="14">
        <v>1353.77</v>
      </c>
      <c r="D484" s="14">
        <v>1358.07</v>
      </c>
      <c r="E484" s="14">
        <v>1344.1</v>
      </c>
      <c r="F484" s="23" t="s">
        <v>63</v>
      </c>
      <c r="G484" s="22">
        <f t="shared" si="7"/>
        <v>0.9979443640256882</v>
      </c>
    </row>
    <row r="485" spans="1:7" x14ac:dyDescent="0.35">
      <c r="A485" s="13">
        <v>44680</v>
      </c>
      <c r="B485" s="14">
        <v>1366.8</v>
      </c>
      <c r="C485" s="14">
        <v>1350.99</v>
      </c>
      <c r="D485" s="14">
        <v>1369.31</v>
      </c>
      <c r="E485" s="14">
        <v>1343.24</v>
      </c>
      <c r="F485" s="23" t="s">
        <v>62</v>
      </c>
      <c r="G485" s="22">
        <f t="shared" si="7"/>
        <v>1.0116345842328327</v>
      </c>
    </row>
    <row r="486" spans="1:7" x14ac:dyDescent="0.35">
      <c r="A486" s="13">
        <v>44685</v>
      </c>
      <c r="B486" s="14">
        <v>1348.68</v>
      </c>
      <c r="C486" s="14">
        <v>1366.11</v>
      </c>
      <c r="D486" s="14">
        <v>1366.39</v>
      </c>
      <c r="E486" s="14">
        <v>1348.68</v>
      </c>
      <c r="F486" s="23" t="s">
        <v>61</v>
      </c>
      <c r="G486" s="22">
        <f t="shared" si="7"/>
        <v>0.98665409507703938</v>
      </c>
    </row>
    <row r="487" spans="1:7" x14ac:dyDescent="0.35">
      <c r="A487" s="13">
        <v>44686</v>
      </c>
      <c r="B487" s="14">
        <v>1360.68</v>
      </c>
      <c r="C487" s="14">
        <v>1348.68</v>
      </c>
      <c r="D487" s="14">
        <v>1362.18</v>
      </c>
      <c r="E487" s="14">
        <v>1331.41</v>
      </c>
      <c r="F487" s="23" t="s">
        <v>60</v>
      </c>
      <c r="G487" s="22">
        <f t="shared" si="7"/>
        <v>1.0088582384535727</v>
      </c>
    </row>
    <row r="488" spans="1:7" x14ac:dyDescent="0.35">
      <c r="A488" s="13">
        <v>44687</v>
      </c>
      <c r="B488" s="14">
        <v>1329.26</v>
      </c>
      <c r="C488" s="14">
        <v>1360.68</v>
      </c>
      <c r="D488" s="14">
        <v>1360.68</v>
      </c>
      <c r="E488" s="14">
        <v>1328.13</v>
      </c>
      <c r="F488" s="23" t="s">
        <v>59</v>
      </c>
      <c r="G488" s="22">
        <f t="shared" si="7"/>
        <v>0.97663782162370905</v>
      </c>
    </row>
    <row r="489" spans="1:7" x14ac:dyDescent="0.35">
      <c r="A489" s="13">
        <v>44690</v>
      </c>
      <c r="B489" s="14">
        <v>1269.6199999999999</v>
      </c>
      <c r="C489" s="14">
        <v>1329.26</v>
      </c>
      <c r="D489" s="14">
        <v>1329.26</v>
      </c>
      <c r="E489" s="14">
        <v>1265.54</v>
      </c>
      <c r="F489" s="23" t="s">
        <v>58</v>
      </c>
      <c r="G489" s="22">
        <f t="shared" si="7"/>
        <v>0.95409524668573298</v>
      </c>
    </row>
    <row r="490" spans="1:7" x14ac:dyDescent="0.35">
      <c r="A490" s="13">
        <v>44691</v>
      </c>
      <c r="B490" s="14">
        <v>1293.56</v>
      </c>
      <c r="C490" s="14">
        <v>1269.6199999999999</v>
      </c>
      <c r="D490" s="14">
        <v>1293.56</v>
      </c>
      <c r="E490" s="14">
        <v>1232.57</v>
      </c>
      <c r="F490" s="23" t="s">
        <v>57</v>
      </c>
      <c r="G490" s="22">
        <f t="shared" si="7"/>
        <v>1.0186804642441352</v>
      </c>
    </row>
    <row r="491" spans="1:7" x14ac:dyDescent="0.35">
      <c r="A491" s="13">
        <v>44692</v>
      </c>
      <c r="B491" s="14">
        <v>1301.53</v>
      </c>
      <c r="C491" s="14">
        <v>1293.56</v>
      </c>
      <c r="D491" s="14">
        <v>1305.17</v>
      </c>
      <c r="E491" s="14">
        <v>1277.9100000000001</v>
      </c>
      <c r="F491" s="23" t="s">
        <v>56</v>
      </c>
      <c r="G491" s="22">
        <f t="shared" si="7"/>
        <v>1.0061423881701856</v>
      </c>
    </row>
    <row r="492" spans="1:7" x14ac:dyDescent="0.35">
      <c r="A492" s="13">
        <v>44693</v>
      </c>
      <c r="B492" s="14">
        <v>1238.8399999999999</v>
      </c>
      <c r="C492" s="14">
        <v>1301.53</v>
      </c>
      <c r="D492" s="14">
        <v>1301.53</v>
      </c>
      <c r="E492" s="14">
        <v>1238.05</v>
      </c>
      <c r="F492" s="23" t="s">
        <v>55</v>
      </c>
      <c r="G492" s="22">
        <f t="shared" si="7"/>
        <v>0.95063496239448508</v>
      </c>
    </row>
    <row r="493" spans="1:7" x14ac:dyDescent="0.35">
      <c r="A493" s="13">
        <v>44694</v>
      </c>
      <c r="B493" s="14">
        <v>1182.77</v>
      </c>
      <c r="C493" s="14">
        <v>1238.8399999999999</v>
      </c>
      <c r="D493" s="14">
        <v>1238.8399999999999</v>
      </c>
      <c r="E493" s="14">
        <v>1180.5999999999999</v>
      </c>
      <c r="F493" s="23" t="s">
        <v>54</v>
      </c>
      <c r="G493" s="22">
        <f t="shared" si="7"/>
        <v>0.95368368722253283</v>
      </c>
    </row>
    <row r="494" spans="1:7" x14ac:dyDescent="0.35">
      <c r="A494" s="13">
        <v>44697</v>
      </c>
      <c r="B494" s="14">
        <v>1171.95</v>
      </c>
      <c r="C494" s="14">
        <v>1182.77</v>
      </c>
      <c r="D494" s="14">
        <v>1215.96</v>
      </c>
      <c r="E494" s="14">
        <v>1170.5899999999999</v>
      </c>
      <c r="F494" s="23" t="s">
        <v>53</v>
      </c>
      <c r="G494" s="22">
        <f t="shared" si="7"/>
        <v>0.99080988299833361</v>
      </c>
    </row>
    <row r="495" spans="1:7" x14ac:dyDescent="0.35">
      <c r="A495" s="13">
        <v>44698</v>
      </c>
      <c r="B495" s="14">
        <v>1228.3699999999999</v>
      </c>
      <c r="C495" s="14">
        <v>1171.95</v>
      </c>
      <c r="D495" s="14">
        <v>1228.3699999999999</v>
      </c>
      <c r="E495" s="14">
        <v>1156.54</v>
      </c>
      <c r="F495" s="23" t="s">
        <v>52</v>
      </c>
      <c r="G495" s="22">
        <f t="shared" si="7"/>
        <v>1.0470190591452082</v>
      </c>
    </row>
    <row r="496" spans="1:7" x14ac:dyDescent="0.35">
      <c r="A496" s="13">
        <v>44699</v>
      </c>
      <c r="B496" s="14">
        <v>1240.76</v>
      </c>
      <c r="C496" s="14">
        <v>1228.3699999999999</v>
      </c>
      <c r="D496" s="14">
        <v>1249.8399999999999</v>
      </c>
      <c r="E496" s="14">
        <v>1222.92</v>
      </c>
      <c r="F496" s="23" t="s">
        <v>51</v>
      </c>
      <c r="G496" s="22">
        <f t="shared" si="7"/>
        <v>1.0100360078203463</v>
      </c>
    </row>
    <row r="497" spans="1:7" x14ac:dyDescent="0.35">
      <c r="A497" s="13">
        <v>44700</v>
      </c>
      <c r="B497" s="14">
        <v>1241.6400000000001</v>
      </c>
      <c r="C497" s="14">
        <v>1240.76</v>
      </c>
      <c r="D497" s="14">
        <v>1246.6600000000001</v>
      </c>
      <c r="E497" s="14">
        <v>1210.43</v>
      </c>
      <c r="F497" s="23" t="s">
        <v>50</v>
      </c>
      <c r="G497" s="22">
        <f t="shared" si="7"/>
        <v>1.0007089913284422</v>
      </c>
    </row>
    <row r="498" spans="1:7" x14ac:dyDescent="0.35">
      <c r="A498" s="13">
        <v>44701</v>
      </c>
      <c r="B498" s="14">
        <v>1240.71</v>
      </c>
      <c r="C498" s="14">
        <v>1241.6400000000001</v>
      </c>
      <c r="D498" s="14">
        <v>1252.96</v>
      </c>
      <c r="E498" s="14">
        <v>1232.33</v>
      </c>
      <c r="F498" s="23" t="s">
        <v>48</v>
      </c>
      <c r="G498" s="22">
        <f t="shared" si="7"/>
        <v>0.9992507099776331</v>
      </c>
    </row>
    <row r="499" spans="1:7" x14ac:dyDescent="0.35">
      <c r="A499" s="13">
        <v>44704</v>
      </c>
      <c r="B499" s="14">
        <v>1218.81</v>
      </c>
      <c r="C499" s="14">
        <v>1240.71</v>
      </c>
      <c r="D499" s="14">
        <v>1246.58</v>
      </c>
      <c r="E499" s="14">
        <v>1207.99</v>
      </c>
      <c r="F499" s="23" t="s">
        <v>46</v>
      </c>
      <c r="G499" s="22">
        <f t="shared" si="7"/>
        <v>0.98219117648700038</v>
      </c>
    </row>
    <row r="500" spans="1:7" x14ac:dyDescent="0.35">
      <c r="A500" s="13">
        <v>44705</v>
      </c>
      <c r="B500" s="14">
        <v>1233.3800000000001</v>
      </c>
      <c r="C500" s="14">
        <v>1218.81</v>
      </c>
      <c r="D500" s="14">
        <v>1233.3800000000001</v>
      </c>
      <c r="E500" s="14">
        <v>1203.28</v>
      </c>
      <c r="F500" s="23" t="s">
        <v>45</v>
      </c>
      <c r="G500" s="22">
        <f t="shared" si="7"/>
        <v>1.0118833952167181</v>
      </c>
    </row>
    <row r="501" spans="1:7" x14ac:dyDescent="0.35">
      <c r="A501" s="13">
        <v>44706</v>
      </c>
      <c r="B501" s="14">
        <v>1268.43</v>
      </c>
      <c r="C501" s="14">
        <v>1233.3800000000001</v>
      </c>
      <c r="D501" s="14">
        <v>1268.43</v>
      </c>
      <c r="E501" s="14">
        <v>1233.3800000000001</v>
      </c>
      <c r="F501" s="23" t="s">
        <v>43</v>
      </c>
      <c r="G501" s="22">
        <f t="shared" si="7"/>
        <v>1.0280215471431247</v>
      </c>
    </row>
    <row r="502" spans="1:7" x14ac:dyDescent="0.35">
      <c r="A502" s="13">
        <v>44707</v>
      </c>
      <c r="B502" s="14">
        <v>1272.5899999999999</v>
      </c>
      <c r="C502" s="14">
        <v>1268.43</v>
      </c>
      <c r="D502" s="14">
        <v>1278.1099999999999</v>
      </c>
      <c r="E502" s="14">
        <v>1267.3</v>
      </c>
      <c r="F502" s="23" t="s">
        <v>40</v>
      </c>
      <c r="G502" s="22">
        <f t="shared" si="7"/>
        <v>1.0032742786098323</v>
      </c>
    </row>
  </sheetData>
  <sortState xmlns:xlrd2="http://schemas.microsoft.com/office/spreadsheetml/2017/richdata2" ref="A2:H502">
    <sortCondition ref="A2:A502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B276C-B066-451D-9938-155A55164B26}">
  <sheetPr codeName="Sheet17">
    <tabColor theme="9"/>
  </sheetPr>
  <dimension ref="A1:C8"/>
  <sheetViews>
    <sheetView topLeftCell="A2" workbookViewId="0">
      <selection activeCell="C20" sqref="C19:C20"/>
    </sheetView>
  </sheetViews>
  <sheetFormatPr defaultRowHeight="14.5" x14ac:dyDescent="0.35"/>
  <cols>
    <col min="1" max="3" width="17.453125" customWidth="1"/>
  </cols>
  <sheetData>
    <row r="1" spans="1:3" ht="20" thickBot="1" x14ac:dyDescent="0.5">
      <c r="A1" s="38" t="s">
        <v>15</v>
      </c>
      <c r="B1" s="38"/>
      <c r="C1" s="38"/>
    </row>
    <row r="2" spans="1:3" ht="18" thickTop="1" thickBot="1" x14ac:dyDescent="0.45">
      <c r="A2" s="4" t="s">
        <v>16</v>
      </c>
      <c r="B2" s="4" t="s">
        <v>17</v>
      </c>
      <c r="C2" s="4" t="s">
        <v>18</v>
      </c>
    </row>
    <row r="3" spans="1:3" ht="15" thickTop="1" x14ac:dyDescent="0.35">
      <c r="A3" t="s">
        <v>30</v>
      </c>
      <c r="B3" t="s">
        <v>29</v>
      </c>
      <c r="C3" s="9" t="s">
        <v>557</v>
      </c>
    </row>
    <row r="4" spans="1:3" x14ac:dyDescent="0.35">
      <c r="A4" t="s">
        <v>32</v>
      </c>
      <c r="B4" t="s">
        <v>29</v>
      </c>
      <c r="C4" s="9" t="s">
        <v>561</v>
      </c>
    </row>
    <row r="5" spans="1:3" x14ac:dyDescent="0.35">
      <c r="A5" t="s">
        <v>556</v>
      </c>
      <c r="B5" t="s">
        <v>29</v>
      </c>
      <c r="C5" s="9" t="s">
        <v>562</v>
      </c>
    </row>
    <row r="6" spans="1:3" x14ac:dyDescent="0.35">
      <c r="A6" t="s">
        <v>545</v>
      </c>
      <c r="B6" t="s">
        <v>37</v>
      </c>
      <c r="C6" t="s">
        <v>555</v>
      </c>
    </row>
    <row r="7" spans="1:3" x14ac:dyDescent="0.35">
      <c r="A7" t="s">
        <v>554</v>
      </c>
      <c r="B7" t="s">
        <v>37</v>
      </c>
      <c r="C7" t="s">
        <v>563</v>
      </c>
    </row>
    <row r="8" spans="1:3" x14ac:dyDescent="0.35">
      <c r="C8" s="9"/>
    </row>
  </sheetData>
  <mergeCells count="1">
    <mergeCell ref="A1:C1"/>
  </mergeCells>
  <phoneticPr fontId="10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012C52-3F9D-45C1-9D6F-A16641BD00C8}">
  <sheetPr codeName="Sheet8"/>
  <dimension ref="A1:CV13"/>
  <sheetViews>
    <sheetView workbookViewId="0">
      <pane xSplit="1" ySplit="2" topLeftCell="B3" activePane="bottomRight" state="frozen"/>
      <selection activeCell="N2" sqref="N2:S2"/>
      <selection pane="topRight" activeCell="N2" sqref="N2:S2"/>
      <selection pane="bottomLeft" activeCell="N2" sqref="N2:S2"/>
      <selection pane="bottomRight" activeCell="C6" sqref="C6"/>
    </sheetView>
  </sheetViews>
  <sheetFormatPr defaultRowHeight="14.5" x14ac:dyDescent="0.35"/>
  <cols>
    <col min="1" max="1" width="5.1796875" bestFit="1" customWidth="1"/>
    <col min="2" max="2" width="17.453125" bestFit="1" customWidth="1"/>
    <col min="3" max="3" width="19.90625" bestFit="1" customWidth="1"/>
    <col min="4" max="4" width="35.26953125" bestFit="1" customWidth="1"/>
    <col min="5" max="5" width="18.6328125" bestFit="1" customWidth="1"/>
    <col min="6" max="6" width="16.90625" bestFit="1" customWidth="1"/>
    <col min="8" max="8" width="19.453125" bestFit="1" customWidth="1"/>
    <col min="9" max="9" width="11.26953125" bestFit="1" customWidth="1"/>
    <col min="10" max="10" width="8.81640625" bestFit="1" customWidth="1"/>
    <col min="11" max="11" width="18.6328125" bestFit="1" customWidth="1"/>
    <col min="12" max="12" width="21.26953125" bestFit="1" customWidth="1"/>
    <col min="13" max="13" width="11.90625" bestFit="1" customWidth="1"/>
    <col min="15" max="15" width="17.54296875" bestFit="1" customWidth="1"/>
    <col min="16" max="16" width="14.26953125" bestFit="1" customWidth="1"/>
  </cols>
  <sheetData>
    <row r="1" spans="1:100" ht="20" thickBot="1" x14ac:dyDescent="0.5">
      <c r="A1" s="38" t="s">
        <v>13</v>
      </c>
      <c r="B1" s="38"/>
      <c r="C1" s="38"/>
      <c r="D1" s="38"/>
      <c r="E1" s="38"/>
      <c r="F1" s="38"/>
      <c r="H1" s="38" t="s">
        <v>14</v>
      </c>
      <c r="I1" s="38"/>
      <c r="J1" s="38"/>
      <c r="K1" s="38"/>
      <c r="L1" s="38"/>
      <c r="M1" s="38"/>
      <c r="O1" s="38" t="s">
        <v>12</v>
      </c>
      <c r="P1" s="38"/>
    </row>
    <row r="2" spans="1:100" ht="15" thickTop="1" x14ac:dyDescent="0.35">
      <c r="A2" s="10" t="s">
        <v>0</v>
      </c>
      <c r="B2" s="10" t="s">
        <v>1</v>
      </c>
      <c r="C2" s="10" t="s">
        <v>2</v>
      </c>
      <c r="D2" s="10" t="s">
        <v>3</v>
      </c>
      <c r="E2" s="10" t="s">
        <v>4</v>
      </c>
      <c r="F2" s="10" t="s">
        <v>5</v>
      </c>
      <c r="G2" s="1"/>
      <c r="H2" s="10" t="s">
        <v>6</v>
      </c>
      <c r="I2" s="10" t="s">
        <v>7</v>
      </c>
      <c r="J2" s="10" t="s">
        <v>8</v>
      </c>
      <c r="K2" s="10" t="s">
        <v>4</v>
      </c>
      <c r="L2" s="10" t="s">
        <v>9</v>
      </c>
      <c r="M2" s="10" t="s">
        <v>10</v>
      </c>
      <c r="N2" s="1"/>
      <c r="O2" s="10" t="s">
        <v>11</v>
      </c>
      <c r="P2" s="10" t="s">
        <v>12</v>
      </c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</row>
    <row r="3" spans="1:100" x14ac:dyDescent="0.35">
      <c r="A3" s="5">
        <v>0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H3" s="2">
        <v>0</v>
      </c>
      <c r="I3" s="2">
        <v>1300000</v>
      </c>
      <c r="J3" s="2">
        <v>0</v>
      </c>
      <c r="K3" s="2">
        <v>0</v>
      </c>
      <c r="L3" s="2">
        <v>0</v>
      </c>
      <c r="M3" s="2">
        <v>-1300000</v>
      </c>
      <c r="O3" s="3">
        <v>1</v>
      </c>
      <c r="P3" s="2">
        <v>-1300000</v>
      </c>
      <c r="Q3">
        <f>P3/(1.15^A3)</f>
        <v>-1300000</v>
      </c>
    </row>
    <row r="4" spans="1:100" x14ac:dyDescent="0.35">
      <c r="A4" s="5">
        <v>1</v>
      </c>
      <c r="B4" s="2">
        <v>9500000</v>
      </c>
      <c r="C4" s="2">
        <v>0</v>
      </c>
      <c r="D4" s="2">
        <v>11390358.025482468</v>
      </c>
      <c r="E4" s="2">
        <v>85427.685191118508</v>
      </c>
      <c r="F4" s="2">
        <v>11304930.340291349</v>
      </c>
      <c r="H4" s="2">
        <v>500000</v>
      </c>
      <c r="I4" s="2">
        <v>0</v>
      </c>
      <c r="J4" s="2">
        <v>30000</v>
      </c>
      <c r="K4" s="2">
        <v>85427.685191118508</v>
      </c>
      <c r="L4" s="2">
        <v>12390.203652959319</v>
      </c>
      <c r="M4" s="2">
        <v>603037.48153815919</v>
      </c>
      <c r="O4" s="3">
        <v>1</v>
      </c>
      <c r="P4" s="2">
        <v>603037.48153815919</v>
      </c>
      <c r="Q4">
        <f t="shared" ref="Q4:Q13" si="0">P4/(1.15^A4)</f>
        <v>524380.41872883413</v>
      </c>
    </row>
    <row r="5" spans="1:100" x14ac:dyDescent="0.35">
      <c r="A5" s="5">
        <v>2</v>
      </c>
      <c r="B5" s="2">
        <v>9900000</v>
      </c>
      <c r="C5" s="2">
        <v>11304930.340291349</v>
      </c>
      <c r="D5" s="2">
        <v>25424394.576982558</v>
      </c>
      <c r="E5" s="2">
        <v>190682.95932736917</v>
      </c>
      <c r="F5" s="2">
        <v>25233711.617655188</v>
      </c>
      <c r="H5" s="2">
        <v>100000</v>
      </c>
      <c r="I5" s="2">
        <v>50000</v>
      </c>
      <c r="J5" s="2">
        <v>3000</v>
      </c>
      <c r="K5" s="2">
        <v>190682.95932736917</v>
      </c>
      <c r="L5" s="2">
        <v>30204.752806333265</v>
      </c>
      <c r="M5" s="2">
        <v>213478.2065210359</v>
      </c>
      <c r="O5" s="3">
        <v>0.88922699999999999</v>
      </c>
      <c r="P5" s="2">
        <v>189830.5851500812</v>
      </c>
      <c r="Q5">
        <f t="shared" si="0"/>
        <v>143539.19482047731</v>
      </c>
    </row>
    <row r="6" spans="1:100" x14ac:dyDescent="0.35">
      <c r="A6" s="5">
        <v>3</v>
      </c>
      <c r="B6" s="2">
        <v>9900000</v>
      </c>
      <c r="C6" s="2">
        <v>25233711.617655188</v>
      </c>
      <c r="D6" s="2">
        <v>42124795.167278461</v>
      </c>
      <c r="E6" s="2">
        <v>315935.96375458845</v>
      </c>
      <c r="F6" s="2">
        <v>41808859.203523874</v>
      </c>
      <c r="H6" s="2">
        <v>100000</v>
      </c>
      <c r="I6" s="2">
        <v>50000</v>
      </c>
      <c r="J6" s="2">
        <v>3000</v>
      </c>
      <c r="K6" s="2">
        <v>315935.96375458845</v>
      </c>
      <c r="L6" s="2">
        <v>54518.752401395133</v>
      </c>
      <c r="M6" s="2">
        <v>314417.21135319333</v>
      </c>
      <c r="O6" s="3">
        <v>0.83374990592399989</v>
      </c>
      <c r="P6" s="2">
        <v>262145.32038661133</v>
      </c>
      <c r="Q6">
        <f t="shared" si="0"/>
        <v>172364.80341028119</v>
      </c>
    </row>
    <row r="7" spans="1:100" x14ac:dyDescent="0.35">
      <c r="A7" s="5">
        <v>4</v>
      </c>
      <c r="B7" s="2">
        <v>9900000</v>
      </c>
      <c r="C7" s="2">
        <v>41808859.203523874</v>
      </c>
      <c r="D7" s="2">
        <v>61998149.412358016</v>
      </c>
      <c r="E7" s="2">
        <v>464986.12059268513</v>
      </c>
      <c r="F7" s="2">
        <v>61533163.291765332</v>
      </c>
      <c r="H7" s="2">
        <v>100000</v>
      </c>
      <c r="I7" s="2">
        <v>50000</v>
      </c>
      <c r="J7" s="2">
        <v>3000</v>
      </c>
      <c r="K7" s="2">
        <v>464986.12059268513</v>
      </c>
      <c r="L7" s="2">
        <v>87254.025547723242</v>
      </c>
      <c r="M7" s="2">
        <v>430732.0950449619</v>
      </c>
      <c r="O7" s="3">
        <v>0.82192733225799763</v>
      </c>
      <c r="P7" s="2">
        <v>354030.48179820384</v>
      </c>
      <c r="Q7">
        <f t="shared" si="0"/>
        <v>202418.07700698837</v>
      </c>
    </row>
    <row r="8" spans="1:100" x14ac:dyDescent="0.35">
      <c r="A8" s="5">
        <v>5</v>
      </c>
      <c r="B8" s="2">
        <v>9900000</v>
      </c>
      <c r="C8" s="2">
        <v>61533163.291765332</v>
      </c>
      <c r="D8" s="2">
        <v>85647295.240627259</v>
      </c>
      <c r="E8" s="2">
        <v>642354.71430470445</v>
      </c>
      <c r="F8" s="2">
        <v>85004940.526322559</v>
      </c>
      <c r="H8" s="2">
        <v>100000</v>
      </c>
      <c r="I8" s="2">
        <v>50000</v>
      </c>
      <c r="J8" s="2">
        <v>3000</v>
      </c>
      <c r="K8" s="2">
        <v>642354.71430470445</v>
      </c>
      <c r="L8" s="2">
        <v>131077.61829158937</v>
      </c>
      <c r="M8" s="2">
        <v>564277.09601311502</v>
      </c>
      <c r="O8" s="3">
        <v>0.80925321279457929</v>
      </c>
      <c r="P8" s="2">
        <v>456643.05285500863</v>
      </c>
      <c r="Q8">
        <f t="shared" si="0"/>
        <v>227032.30221509762</v>
      </c>
    </row>
    <row r="9" spans="1:100" x14ac:dyDescent="0.35">
      <c r="A9" s="5">
        <v>6</v>
      </c>
      <c r="B9" s="2">
        <v>9900000</v>
      </c>
      <c r="C9" s="2">
        <v>85004940.526322559</v>
      </c>
      <c r="D9" s="2">
        <v>113789605.36651942</v>
      </c>
      <c r="E9" s="2">
        <v>853422.04024889553</v>
      </c>
      <c r="F9" s="2">
        <v>112936183.32627052</v>
      </c>
      <c r="H9" s="2">
        <v>100000</v>
      </c>
      <c r="I9" s="2">
        <v>50000</v>
      </c>
      <c r="J9" s="2">
        <v>3000</v>
      </c>
      <c r="K9" s="2">
        <v>853422.04024889553</v>
      </c>
      <c r="L9" s="2">
        <v>189732.78798813449</v>
      </c>
      <c r="M9" s="2">
        <v>716689.2522607611</v>
      </c>
      <c r="O9" s="3">
        <v>0.7956577588196303</v>
      </c>
      <c r="P9" s="2">
        <v>570239.36422391387</v>
      </c>
      <c r="Q9">
        <f t="shared" si="0"/>
        <v>246530.21342905911</v>
      </c>
    </row>
    <row r="10" spans="1:100" x14ac:dyDescent="0.35">
      <c r="A10" s="5">
        <v>7</v>
      </c>
      <c r="B10" s="2">
        <v>9900000</v>
      </c>
      <c r="C10" s="2">
        <v>112936183.32627052</v>
      </c>
      <c r="D10" s="2">
        <v>147278748.06000224</v>
      </c>
      <c r="E10" s="2">
        <v>1104590.6104500168</v>
      </c>
      <c r="F10" s="2">
        <v>146174157.44955221</v>
      </c>
      <c r="H10" s="2">
        <v>100000</v>
      </c>
      <c r="I10" s="2">
        <v>50000</v>
      </c>
      <c r="J10" s="2">
        <v>3000</v>
      </c>
      <c r="K10" s="2">
        <v>1104590.6104500168</v>
      </c>
      <c r="L10" s="2">
        <v>268375.75307737786</v>
      </c>
      <c r="M10" s="2">
        <v>889214.857372639</v>
      </c>
      <c r="O10" s="3">
        <v>0.78104948236770189</v>
      </c>
      <c r="P10" s="2">
        <v>694520.80406456953</v>
      </c>
      <c r="Q10">
        <f t="shared" si="0"/>
        <v>261096.09524504049</v>
      </c>
    </row>
    <row r="11" spans="1:100" x14ac:dyDescent="0.35">
      <c r="A11" s="5">
        <v>8</v>
      </c>
      <c r="B11" s="2">
        <v>9900000</v>
      </c>
      <c r="C11" s="2">
        <v>146174157.44955221</v>
      </c>
      <c r="D11" s="2">
        <v>187130582.30272856</v>
      </c>
      <c r="E11" s="2">
        <v>1403479.3672704643</v>
      </c>
      <c r="F11" s="2">
        <v>185727102.93545809</v>
      </c>
      <c r="H11" s="2">
        <v>100000</v>
      </c>
      <c r="I11" s="2">
        <v>50000</v>
      </c>
      <c r="J11" s="2">
        <v>3000</v>
      </c>
      <c r="K11" s="2">
        <v>1403479.3672704643</v>
      </c>
      <c r="L11" s="2">
        <v>373682.93110614165</v>
      </c>
      <c r="M11" s="2">
        <v>1082796.4361643228</v>
      </c>
      <c r="O11" s="3">
        <v>0.7653347667824637</v>
      </c>
      <c r="P11" s="2">
        <v>828701.75794470485</v>
      </c>
      <c r="Q11">
        <f t="shared" si="0"/>
        <v>270904.0746615614</v>
      </c>
    </row>
    <row r="12" spans="1:100" x14ac:dyDescent="0.35">
      <c r="A12" s="5">
        <v>9</v>
      </c>
      <c r="B12" s="2">
        <v>9900000</v>
      </c>
      <c r="C12" s="2">
        <v>185727102.93545809</v>
      </c>
      <c r="D12" s="2">
        <v>234553972.83397686</v>
      </c>
      <c r="E12" s="2">
        <v>1759154.7962548265</v>
      </c>
      <c r="F12" s="2">
        <v>232794818.03772205</v>
      </c>
      <c r="H12" s="2">
        <v>100000</v>
      </c>
      <c r="I12" s="2">
        <v>50000</v>
      </c>
      <c r="J12" s="2">
        <v>3000</v>
      </c>
      <c r="K12" s="2">
        <v>1759154.7962548265</v>
      </c>
      <c r="L12" s="2">
        <v>514243.75304532802</v>
      </c>
      <c r="M12" s="2">
        <v>1297911.0432094985</v>
      </c>
      <c r="O12" s="3">
        <v>0.74842852178423913</v>
      </c>
      <c r="P12" s="2">
        <v>971393.64347672474</v>
      </c>
      <c r="Q12">
        <f t="shared" si="0"/>
        <v>276130.70013515913</v>
      </c>
    </row>
    <row r="13" spans="1:100" x14ac:dyDescent="0.35">
      <c r="A13" s="5">
        <v>10</v>
      </c>
      <c r="B13" s="2">
        <v>9900000</v>
      </c>
      <c r="C13" s="2">
        <v>232794818.03772205</v>
      </c>
      <c r="D13" s="2">
        <v>290987459.82936579</v>
      </c>
      <c r="E13" s="2">
        <v>2182405.9487202438</v>
      </c>
      <c r="F13" s="2">
        <v>288805053.88064599</v>
      </c>
      <c r="H13" s="2">
        <v>100000</v>
      </c>
      <c r="I13" s="2">
        <v>50000</v>
      </c>
      <c r="J13" s="2">
        <v>3000</v>
      </c>
      <c r="K13" s="2">
        <v>2182405.9487202438</v>
      </c>
      <c r="L13" s="2">
        <v>0</v>
      </c>
      <c r="M13" s="2">
        <v>2235405.9487202438</v>
      </c>
      <c r="O13" s="3">
        <v>0.74842852178423913</v>
      </c>
      <c r="P13" s="2">
        <v>1673041.5697883868</v>
      </c>
      <c r="Q13">
        <f t="shared" si="0"/>
        <v>413550.28875780752</v>
      </c>
    </row>
  </sheetData>
  <mergeCells count="3">
    <mergeCell ref="A1:F1"/>
    <mergeCell ref="H1:M1"/>
    <mergeCell ref="O1:P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32D60C-F74F-4E0D-B871-B0649910C5BD}">
  <sheetPr codeName="Sheet1054"/>
  <dimension ref="A1:CV13"/>
  <sheetViews>
    <sheetView workbookViewId="0">
      <selection activeCell="Q3" sqref="Q3:Q13"/>
    </sheetView>
  </sheetViews>
  <sheetFormatPr defaultRowHeight="14.5" x14ac:dyDescent="0.35"/>
  <cols>
    <col min="1" max="1" width="5.1796875" bestFit="1" customWidth="1"/>
    <col min="2" max="2" width="17.453125" bestFit="1" customWidth="1"/>
    <col min="3" max="3" width="19.90625" bestFit="1" customWidth="1"/>
    <col min="4" max="4" width="35.26953125" bestFit="1" customWidth="1"/>
    <col min="5" max="5" width="18.6328125" bestFit="1" customWidth="1"/>
    <col min="6" max="6" width="16.90625" bestFit="1" customWidth="1"/>
    <col min="8" max="8" width="19.453125" bestFit="1" customWidth="1"/>
    <col min="9" max="9" width="11.26953125" bestFit="1" customWidth="1"/>
    <col min="10" max="10" width="8.81640625" bestFit="1" customWidth="1"/>
    <col min="11" max="11" width="18.6328125" bestFit="1" customWidth="1"/>
    <col min="12" max="12" width="21.26953125" bestFit="1" customWidth="1"/>
    <col min="13" max="13" width="14.26953125" customWidth="1"/>
    <col min="15" max="15" width="17.54296875" bestFit="1" customWidth="1"/>
    <col min="16" max="16" width="14.26953125" bestFit="1" customWidth="1"/>
    <col min="18" max="18" width="12.1796875" customWidth="1"/>
    <col min="19" max="19" width="18.6328125" customWidth="1"/>
  </cols>
  <sheetData>
    <row r="1" spans="1:100" ht="20" thickBot="1" x14ac:dyDescent="0.5">
      <c r="A1" s="38"/>
      <c r="B1" s="38"/>
      <c r="C1" s="38"/>
      <c r="D1" s="38"/>
      <c r="E1" s="38"/>
      <c r="F1" s="38"/>
      <c r="H1" s="38"/>
      <c r="I1" s="38"/>
      <c r="J1" s="38"/>
      <c r="K1" s="38"/>
      <c r="L1" s="38"/>
      <c r="M1" s="38"/>
      <c r="O1" s="38"/>
      <c r="P1" s="38"/>
    </row>
    <row r="2" spans="1:100" ht="15" thickTop="1" x14ac:dyDescent="0.35">
      <c r="A2" s="10"/>
      <c r="B2" s="10"/>
      <c r="C2" s="10"/>
      <c r="D2" s="10"/>
      <c r="E2" s="10"/>
      <c r="F2" s="10"/>
      <c r="G2" s="1"/>
      <c r="H2" s="10"/>
      <c r="I2" s="10"/>
      <c r="J2" s="10"/>
      <c r="K2" s="10"/>
      <c r="L2" s="10"/>
      <c r="M2" s="10"/>
      <c r="N2" s="1"/>
      <c r="O2" s="10"/>
      <c r="P2" s="10"/>
      <c r="Q2" s="1"/>
      <c r="R2" s="10"/>
      <c r="S2" s="10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</row>
    <row r="3" spans="1:100" x14ac:dyDescent="0.35">
      <c r="A3" s="5">
        <v>0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H3" s="2">
        <v>0</v>
      </c>
      <c r="I3" s="2">
        <v>1000150</v>
      </c>
      <c r="J3" s="2">
        <v>0</v>
      </c>
      <c r="K3" s="2">
        <v>0</v>
      </c>
      <c r="L3" s="2">
        <v>0</v>
      </c>
      <c r="M3" s="2">
        <v>-1000150</v>
      </c>
      <c r="O3" s="3">
        <v>1</v>
      </c>
      <c r="P3" s="2">
        <v>-1000150</v>
      </c>
      <c r="Q3">
        <f>P3/(1.15)^A3</f>
        <v>-1000150</v>
      </c>
      <c r="R3" s="3"/>
      <c r="S3" s="2"/>
    </row>
    <row r="4" spans="1:100" x14ac:dyDescent="0.35">
      <c r="A4" s="5">
        <v>1</v>
      </c>
      <c r="B4" s="2">
        <v>9500000</v>
      </c>
      <c r="C4" s="2">
        <v>0</v>
      </c>
      <c r="D4" s="2">
        <v>15691806.89193834</v>
      </c>
      <c r="E4" s="2">
        <v>117688.55168953753</v>
      </c>
      <c r="F4" s="2">
        <v>15574118.340248803</v>
      </c>
      <c r="H4" s="2">
        <v>500000</v>
      </c>
      <c r="I4" s="2">
        <v>0</v>
      </c>
      <c r="J4" s="2">
        <v>30000</v>
      </c>
      <c r="K4" s="2">
        <v>117688.55168953753</v>
      </c>
      <c r="L4" s="2">
        <v>17069.233700912686</v>
      </c>
      <c r="M4" s="2">
        <v>630619.3179886248</v>
      </c>
      <c r="O4" s="3">
        <v>1</v>
      </c>
      <c r="P4" s="2">
        <v>630619.3179886248</v>
      </c>
      <c r="Q4">
        <f t="shared" ref="Q4:Q13" si="0">P4/(1.15)^A4</f>
        <v>548364.62433793466</v>
      </c>
      <c r="R4" s="3">
        <v>1.9225073833475728</v>
      </c>
      <c r="S4" s="25">
        <v>1.6517691465198252</v>
      </c>
    </row>
    <row r="5" spans="1:100" x14ac:dyDescent="0.35">
      <c r="A5" s="5">
        <v>2</v>
      </c>
      <c r="B5" s="2">
        <v>9900000</v>
      </c>
      <c r="C5" s="2">
        <v>15574118.340248803</v>
      </c>
      <c r="D5" s="2">
        <v>34935366.848679759</v>
      </c>
      <c r="E5" s="2">
        <v>262015.2513650982</v>
      </c>
      <c r="F5" s="2">
        <v>34673351.597314663</v>
      </c>
      <c r="H5" s="2">
        <v>100000</v>
      </c>
      <c r="I5" s="2">
        <v>50000</v>
      </c>
      <c r="J5" s="2">
        <v>3000</v>
      </c>
      <c r="K5" s="2">
        <v>262015.2513650982</v>
      </c>
      <c r="L5" s="2">
        <v>41504.001861985656</v>
      </c>
      <c r="M5" s="2">
        <v>273511.24950311251</v>
      </c>
      <c r="O5" s="3">
        <v>0.88922699999999999</v>
      </c>
      <c r="P5" s="2">
        <v>243213.58786190423</v>
      </c>
      <c r="Q5">
        <f t="shared" si="0"/>
        <v>183904.41426230947</v>
      </c>
      <c r="R5" s="3">
        <v>0.85696240178977545</v>
      </c>
      <c r="S5" s="25">
        <v>1.371406318446841</v>
      </c>
    </row>
    <row r="6" spans="1:100" x14ac:dyDescent="0.35">
      <c r="A6" s="5">
        <v>3</v>
      </c>
      <c r="B6" s="2">
        <v>9900000</v>
      </c>
      <c r="C6" s="2">
        <v>34673351.597314663</v>
      </c>
      <c r="D6" s="2">
        <v>56968737.523201309</v>
      </c>
      <c r="E6" s="2">
        <v>427265.53142400982</v>
      </c>
      <c r="F6" s="2">
        <v>56541471.991777301</v>
      </c>
      <c r="H6" s="2">
        <v>100000</v>
      </c>
      <c r="I6" s="2">
        <v>50000</v>
      </c>
      <c r="J6" s="2">
        <v>3000</v>
      </c>
      <c r="K6" s="2">
        <v>427265.53142400982</v>
      </c>
      <c r="L6" s="2">
        <v>73730.079477277599</v>
      </c>
      <c r="M6" s="2">
        <v>406535.45194673224</v>
      </c>
      <c r="O6" s="3">
        <v>0.83374990592399989</v>
      </c>
      <c r="P6" s="2">
        <v>338948.8948153588</v>
      </c>
      <c r="Q6">
        <f t="shared" si="0"/>
        <v>222864.40030598102</v>
      </c>
      <c r="R6" s="3">
        <v>0.45327903279687254</v>
      </c>
      <c r="S6" s="25">
        <v>1.2780896091877778</v>
      </c>
    </row>
    <row r="7" spans="1:100" x14ac:dyDescent="0.35">
      <c r="A7" s="5">
        <v>4</v>
      </c>
      <c r="B7" s="2">
        <v>9900000</v>
      </c>
      <c r="C7" s="2">
        <v>56541471.991777301</v>
      </c>
      <c r="D7" s="2">
        <v>98640192.710352913</v>
      </c>
      <c r="E7" s="2">
        <v>739801.44532764691</v>
      </c>
      <c r="F7" s="2">
        <v>97900391.265025273</v>
      </c>
      <c r="H7" s="2">
        <v>100000</v>
      </c>
      <c r="I7" s="2">
        <v>50000</v>
      </c>
      <c r="J7" s="2">
        <v>3000</v>
      </c>
      <c r="K7" s="2">
        <v>739801.44532764691</v>
      </c>
      <c r="L7" s="2">
        <v>138822.75481380583</v>
      </c>
      <c r="M7" s="2">
        <v>653978.69051384111</v>
      </c>
      <c r="O7" s="3">
        <v>0.82192733225799763</v>
      </c>
      <c r="P7" s="2">
        <v>537522.96044762013</v>
      </c>
      <c r="Q7">
        <f t="shared" si="0"/>
        <v>307330.4972167025</v>
      </c>
      <c r="R7" s="3">
        <v>1.3113445809597679</v>
      </c>
      <c r="S7" s="25">
        <v>1.4846178110346573</v>
      </c>
    </row>
    <row r="8" spans="1:100" x14ac:dyDescent="0.35">
      <c r="A8" s="5">
        <v>5</v>
      </c>
      <c r="B8" s="2">
        <v>9900000</v>
      </c>
      <c r="C8" s="2">
        <v>97900391.265025273</v>
      </c>
      <c r="D8" s="2">
        <v>155710212.45620981</v>
      </c>
      <c r="E8" s="2">
        <v>1167826.5934215738</v>
      </c>
      <c r="F8" s="2">
        <v>154542385.86278823</v>
      </c>
      <c r="H8" s="2">
        <v>100000</v>
      </c>
      <c r="I8" s="2">
        <v>50000</v>
      </c>
      <c r="J8" s="2">
        <v>3000</v>
      </c>
      <c r="K8" s="2">
        <v>1167826.5934215738</v>
      </c>
      <c r="L8" s="2">
        <v>238304.35900041944</v>
      </c>
      <c r="M8" s="2">
        <v>982522.23442115425</v>
      </c>
      <c r="O8" s="3">
        <v>0.80925321279457929</v>
      </c>
      <c r="P8" s="2">
        <v>795109.27484742785</v>
      </c>
      <c r="Q8">
        <f t="shared" si="0"/>
        <v>395309.83347403485</v>
      </c>
      <c r="R8" s="3">
        <v>1.1541452528906693</v>
      </c>
      <c r="S8" s="25">
        <v>1.4444308655002849</v>
      </c>
    </row>
    <row r="9" spans="1:100" x14ac:dyDescent="0.35">
      <c r="A9" s="5">
        <v>6</v>
      </c>
      <c r="B9" s="2">
        <v>9900000</v>
      </c>
      <c r="C9" s="2">
        <v>154542385.86278823</v>
      </c>
      <c r="D9" s="2">
        <v>187177318.6919761</v>
      </c>
      <c r="E9" s="2">
        <v>1403829.8901898209</v>
      </c>
      <c r="F9" s="2">
        <v>185773488.80178627</v>
      </c>
      <c r="H9" s="2">
        <v>100000</v>
      </c>
      <c r="I9" s="2">
        <v>50000</v>
      </c>
      <c r="J9" s="2">
        <v>3000</v>
      </c>
      <c r="K9" s="2">
        <v>1403829.8901898209</v>
      </c>
      <c r="L9" s="2">
        <v>312099.46118700097</v>
      </c>
      <c r="M9" s="2">
        <v>1144730.42900282</v>
      </c>
      <c r="O9" s="3">
        <v>0.7956577588196303</v>
      </c>
      <c r="P9" s="2">
        <v>910813.64759301767</v>
      </c>
      <c r="Q9">
        <f t="shared" si="0"/>
        <v>393769.87458732491</v>
      </c>
      <c r="R9" s="3">
        <v>-0.21047523825684825</v>
      </c>
      <c r="S9" s="25">
        <v>1.1382547006351393</v>
      </c>
    </row>
    <row r="10" spans="1:100" x14ac:dyDescent="0.35">
      <c r="A10" s="5">
        <v>7</v>
      </c>
      <c r="B10" s="2">
        <v>9900000</v>
      </c>
      <c r="C10" s="2">
        <v>185773488.80178627</v>
      </c>
      <c r="D10" s="2">
        <v>188714791.86238226</v>
      </c>
      <c r="E10" s="2">
        <v>1415360.9389678668</v>
      </c>
      <c r="F10" s="2">
        <v>187299430.92341441</v>
      </c>
      <c r="H10" s="2">
        <v>100000</v>
      </c>
      <c r="I10" s="2">
        <v>50000</v>
      </c>
      <c r="J10" s="2">
        <v>3000</v>
      </c>
      <c r="K10" s="2">
        <v>1415360.9389678668</v>
      </c>
      <c r="L10" s="2">
        <v>343881.75517538888</v>
      </c>
      <c r="M10" s="2">
        <v>1124479.1837924779</v>
      </c>
      <c r="O10" s="3">
        <v>0.78104948236770189</v>
      </c>
      <c r="P10" s="2">
        <v>878273.88443437079</v>
      </c>
      <c r="Q10">
        <f t="shared" si="0"/>
        <v>330175.68435601372</v>
      </c>
      <c r="R10" s="3">
        <v>-1.1597131039322925</v>
      </c>
      <c r="S10" s="25">
        <v>0.96443720106379327</v>
      </c>
    </row>
    <row r="11" spans="1:100" x14ac:dyDescent="0.35">
      <c r="A11" s="5">
        <v>8</v>
      </c>
      <c r="B11" s="2">
        <v>9900000</v>
      </c>
      <c r="C11" s="2">
        <v>187299430.92341441</v>
      </c>
      <c r="D11" s="2">
        <v>312585212.00239801</v>
      </c>
      <c r="E11" s="2">
        <v>2344389.0900179851</v>
      </c>
      <c r="F11" s="2">
        <v>310240822.91238004</v>
      </c>
      <c r="H11" s="2">
        <v>100000</v>
      </c>
      <c r="I11" s="2">
        <v>50000</v>
      </c>
      <c r="J11" s="2">
        <v>3000</v>
      </c>
      <c r="K11" s="2">
        <v>2344389.0900179851</v>
      </c>
      <c r="L11" s="2">
        <v>624204.53569970862</v>
      </c>
      <c r="M11" s="2">
        <v>1773184.5543182765</v>
      </c>
      <c r="O11" s="3">
        <v>0.7653347667824637</v>
      </c>
      <c r="P11" s="2">
        <v>1357079.787341445</v>
      </c>
      <c r="Q11">
        <f t="shared" si="0"/>
        <v>443631.78973269823</v>
      </c>
      <c r="R11" s="3">
        <v>1.6865801939689349</v>
      </c>
      <c r="S11" s="25">
        <v>1.5851222822432764</v>
      </c>
    </row>
    <row r="12" spans="1:100" x14ac:dyDescent="0.35">
      <c r="A12" s="5">
        <v>9</v>
      </c>
      <c r="B12" s="2">
        <v>9900000</v>
      </c>
      <c r="C12" s="2">
        <v>310240822.91238004</v>
      </c>
      <c r="D12" s="2">
        <v>437134596.73644829</v>
      </c>
      <c r="E12" s="2">
        <v>3278509.4755233619</v>
      </c>
      <c r="F12" s="2">
        <v>433856087.26092494</v>
      </c>
      <c r="H12" s="2">
        <v>100000</v>
      </c>
      <c r="I12" s="2">
        <v>50000</v>
      </c>
      <c r="J12" s="2">
        <v>3000</v>
      </c>
      <c r="K12" s="2">
        <v>3278509.4755233619</v>
      </c>
      <c r="L12" s="2">
        <v>958388.09675938322</v>
      </c>
      <c r="M12" s="2">
        <v>2373121.3787639788</v>
      </c>
      <c r="O12" s="3">
        <v>0.74842852178423913</v>
      </c>
      <c r="P12" s="2">
        <v>1776111.7255229002</v>
      </c>
      <c r="Q12">
        <f t="shared" si="0"/>
        <v>504881.80314992485</v>
      </c>
      <c r="R12" s="3">
        <v>0.83200627572448771</v>
      </c>
      <c r="S12" s="25">
        <v>1.3654447213565404</v>
      </c>
    </row>
    <row r="13" spans="1:100" x14ac:dyDescent="0.35">
      <c r="A13" s="5">
        <v>10</v>
      </c>
      <c r="B13" s="2">
        <v>9900000</v>
      </c>
      <c r="C13" s="2">
        <v>433856087.26092494</v>
      </c>
      <c r="D13" s="2">
        <v>-130340971.10218813</v>
      </c>
      <c r="E13" s="2">
        <v>-977557.28326641093</v>
      </c>
      <c r="F13" s="2">
        <v>-129363413.81892172</v>
      </c>
      <c r="H13" s="2">
        <v>100000</v>
      </c>
      <c r="I13" s="2">
        <v>50000</v>
      </c>
      <c r="J13" s="2">
        <v>3000</v>
      </c>
      <c r="K13" s="2">
        <v>-977557.28326641093</v>
      </c>
      <c r="L13" s="2">
        <v>0</v>
      </c>
      <c r="M13" s="2">
        <v>-230287971.10218814</v>
      </c>
      <c r="O13" s="3">
        <v>0.74842852178423913</v>
      </c>
      <c r="P13" s="2">
        <v>-172354085.79670224</v>
      </c>
      <c r="Q13">
        <f t="shared" si="0"/>
        <v>-42603294.046560697</v>
      </c>
      <c r="R13" s="3" t="e">
        <f>(LN(S13)-VNIndex!J7)/VNIndex!J8</f>
        <v>#NUM!</v>
      </c>
      <c r="S13" s="25">
        <v>-0.2937221028486956</v>
      </c>
    </row>
  </sheetData>
  <mergeCells count="3">
    <mergeCell ref="A1:F1"/>
    <mergeCell ref="H1:M1"/>
    <mergeCell ref="O1:P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DB6FC-ECF6-4AFA-8185-C0DA3351EC0E}">
  <sheetPr codeName="Sheet1"/>
  <dimension ref="A1:DB1003"/>
  <sheetViews>
    <sheetView workbookViewId="0">
      <pane xSplit="7" ySplit="3" topLeftCell="H4" activePane="bottomRight" state="frozen"/>
      <selection pane="topRight" activeCell="B1" sqref="B1"/>
      <selection pane="bottomLeft" activeCell="A3" sqref="A3"/>
      <selection pane="bottomRight" activeCell="E12" sqref="E12"/>
    </sheetView>
  </sheetViews>
  <sheetFormatPr defaultRowHeight="14.5" x14ac:dyDescent="0.35"/>
  <cols>
    <col min="1" max="1" width="13.54296875" bestFit="1" customWidth="1"/>
    <col min="2" max="2" width="11.90625" bestFit="1" customWidth="1"/>
    <col min="4" max="4" width="16.453125" bestFit="1" customWidth="1"/>
    <col min="5" max="5" width="24.1796875" bestFit="1" customWidth="1"/>
    <col min="7" max="7" width="4.90625" bestFit="1" customWidth="1"/>
    <col min="8" max="8" width="16.81640625" bestFit="1" customWidth="1"/>
    <col min="9" max="9" width="19.81640625" bestFit="1" customWidth="1"/>
    <col min="10" max="10" width="34.6328125" bestFit="1" customWidth="1"/>
    <col min="11" max="11" width="18.453125" bestFit="1" customWidth="1"/>
    <col min="12" max="12" width="16.36328125" bestFit="1" customWidth="1"/>
    <col min="14" max="14" width="19.08984375" bestFit="1" customWidth="1"/>
    <col min="15" max="15" width="11.26953125" bestFit="1" customWidth="1"/>
    <col min="16" max="16" width="8.81640625" bestFit="1" customWidth="1"/>
    <col min="17" max="17" width="18.453125" bestFit="1" customWidth="1"/>
    <col min="18" max="18" width="20.6328125" bestFit="1" customWidth="1"/>
    <col min="19" max="19" width="11.90625" bestFit="1" customWidth="1"/>
    <col min="21" max="21" width="17.1796875" bestFit="1" customWidth="1"/>
    <col min="22" max="22" width="14" bestFit="1" customWidth="1"/>
    <col min="24" max="24" width="10.453125" bestFit="1" customWidth="1"/>
    <col min="25" max="25" width="32.81640625" bestFit="1" customWidth="1"/>
  </cols>
  <sheetData>
    <row r="1" spans="1:106" ht="23.5" x14ac:dyDescent="0.35">
      <c r="A1" s="39" t="s">
        <v>35</v>
      </c>
      <c r="B1" s="39"/>
      <c r="D1" s="39" t="s">
        <v>36</v>
      </c>
      <c r="E1" s="39"/>
      <c r="G1" s="41" t="s">
        <v>34</v>
      </c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</row>
    <row r="2" spans="1:106" ht="17.5" thickBot="1" x14ac:dyDescent="0.45">
      <c r="A2" s="39"/>
      <c r="B2" s="39"/>
      <c r="D2" s="39"/>
      <c r="E2" s="39"/>
      <c r="G2" s="40" t="s">
        <v>13</v>
      </c>
      <c r="H2" s="40"/>
      <c r="I2" s="40"/>
      <c r="J2" s="40"/>
      <c r="K2" s="40"/>
      <c r="L2" s="40"/>
      <c r="N2" s="40" t="s">
        <v>14</v>
      </c>
      <c r="O2" s="40"/>
      <c r="P2" s="40"/>
      <c r="Q2" s="40"/>
      <c r="R2" s="40"/>
      <c r="S2" s="40"/>
      <c r="U2" s="40" t="s">
        <v>12</v>
      </c>
      <c r="V2" s="40"/>
      <c r="X2" s="40" t="s">
        <v>33</v>
      </c>
      <c r="Y2" s="40"/>
    </row>
    <row r="3" spans="1:106" ht="18" thickTop="1" thickBot="1" x14ac:dyDescent="0.4">
      <c r="A3" s="7" t="s">
        <v>31</v>
      </c>
      <c r="B3" s="7" t="s">
        <v>18</v>
      </c>
      <c r="D3" s="7" t="s">
        <v>19</v>
      </c>
      <c r="E3" s="7" t="s">
        <v>20</v>
      </c>
      <c r="G3" s="10" t="s">
        <v>0</v>
      </c>
      <c r="H3" s="10" t="s">
        <v>1</v>
      </c>
      <c r="I3" s="10" t="s">
        <v>2</v>
      </c>
      <c r="J3" s="10" t="s">
        <v>3</v>
      </c>
      <c r="K3" s="10" t="s">
        <v>4</v>
      </c>
      <c r="L3" s="10" t="s">
        <v>5</v>
      </c>
      <c r="M3" s="1"/>
      <c r="N3" s="10" t="s">
        <v>6</v>
      </c>
      <c r="O3" s="10" t="s">
        <v>7</v>
      </c>
      <c r="P3" s="10" t="s">
        <v>8</v>
      </c>
      <c r="Q3" s="10" t="s">
        <v>4</v>
      </c>
      <c r="R3" s="10" t="s">
        <v>9</v>
      </c>
      <c r="S3" s="10" t="s">
        <v>10</v>
      </c>
      <c r="T3" s="1"/>
      <c r="U3" s="10" t="s">
        <v>11</v>
      </c>
      <c r="V3" s="10" t="s">
        <v>12</v>
      </c>
      <c r="W3" s="1"/>
      <c r="X3" s="10" t="s">
        <v>38</v>
      </c>
      <c r="Y3" s="10" t="s">
        <v>39</v>
      </c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</row>
    <row r="4" spans="1:106" ht="15" thickTop="1" x14ac:dyDescent="0.35">
      <c r="A4" s="8">
        <v>1</v>
      </c>
      <c r="B4" s="6">
        <v>1506231.3454254942</v>
      </c>
      <c r="D4" t="s">
        <v>21</v>
      </c>
      <c r="E4" s="6">
        <v>1700340.5444736327</v>
      </c>
      <c r="G4" s="5">
        <v>0</v>
      </c>
      <c r="H4" s="5">
        <v>0</v>
      </c>
      <c r="I4" s="2">
        <v>0</v>
      </c>
      <c r="J4" s="2">
        <v>0</v>
      </c>
      <c r="K4" s="2">
        <v>0</v>
      </c>
      <c r="L4" s="2">
        <v>0</v>
      </c>
      <c r="N4" s="2">
        <v>0</v>
      </c>
      <c r="O4" s="2">
        <v>1000150</v>
      </c>
      <c r="P4" s="2">
        <v>0</v>
      </c>
      <c r="Q4" s="2">
        <v>0</v>
      </c>
      <c r="R4" s="2">
        <v>0</v>
      </c>
      <c r="S4" s="2">
        <v>-1000150</v>
      </c>
      <c r="U4" s="3">
        <v>1</v>
      </c>
      <c r="V4" s="2">
        <v>-1000150</v>
      </c>
      <c r="X4" s="3"/>
      <c r="Y4" s="3"/>
    </row>
    <row r="5" spans="1:106" x14ac:dyDescent="0.35">
      <c r="A5" s="8">
        <v>2</v>
      </c>
      <c r="B5" s="6">
        <v>2384505.2427326632</v>
      </c>
      <c r="D5" t="s">
        <v>22</v>
      </c>
      <c r="E5" s="6">
        <v>595489.94512873131</v>
      </c>
      <c r="G5" s="5">
        <v>1</v>
      </c>
      <c r="H5" s="5">
        <v>9500000</v>
      </c>
      <c r="I5" s="2">
        <v>0</v>
      </c>
      <c r="J5" s="2">
        <v>12327973.187564207</v>
      </c>
      <c r="K5" s="2">
        <v>92459.79890673155</v>
      </c>
      <c r="L5" s="2">
        <v>12235513.388657475</v>
      </c>
      <c r="N5" s="2">
        <v>500000</v>
      </c>
      <c r="O5" s="2">
        <v>0</v>
      </c>
      <c r="P5" s="2">
        <v>30000</v>
      </c>
      <c r="Q5" s="2">
        <v>92459.79890673155</v>
      </c>
      <c r="R5" s="2">
        <v>13410.122673968592</v>
      </c>
      <c r="S5" s="2">
        <v>609049.67623276298</v>
      </c>
      <c r="U5" s="3">
        <v>1</v>
      </c>
      <c r="V5" s="2">
        <v>609049.67623276298</v>
      </c>
      <c r="X5" s="3">
        <v>0.54042354081531307</v>
      </c>
      <c r="Y5" s="3">
        <v>1.2976813881646534</v>
      </c>
    </row>
    <row r="6" spans="1:106" x14ac:dyDescent="0.35">
      <c r="A6" s="8">
        <v>3</v>
      </c>
      <c r="B6" s="6">
        <v>1375959.3399212342</v>
      </c>
      <c r="D6" t="s">
        <v>23</v>
      </c>
      <c r="E6" s="11" t="s">
        <v>560</v>
      </c>
      <c r="G6" s="5">
        <v>2</v>
      </c>
      <c r="H6" s="5">
        <v>9900000</v>
      </c>
      <c r="I6" s="2">
        <v>12235513.388657475</v>
      </c>
      <c r="J6" s="2">
        <v>26524382.471231211</v>
      </c>
      <c r="K6" s="2">
        <v>198932.86853423409</v>
      </c>
      <c r="L6" s="2">
        <v>26325449.602696978</v>
      </c>
      <c r="N6" s="2">
        <v>100000</v>
      </c>
      <c r="O6" s="2">
        <v>50000</v>
      </c>
      <c r="P6" s="2">
        <v>3000</v>
      </c>
      <c r="Q6" s="2">
        <v>198932.86853423409</v>
      </c>
      <c r="R6" s="2">
        <v>31511.563174428287</v>
      </c>
      <c r="S6" s="2">
        <v>220421.30535980582</v>
      </c>
      <c r="U6" s="3">
        <v>0.88922699999999999</v>
      </c>
      <c r="V6" s="2">
        <v>196004.57610118404</v>
      </c>
      <c r="X6" s="3">
        <v>8.387985011316984E-2</v>
      </c>
      <c r="Y6" s="3">
        <v>1.1982727486601983</v>
      </c>
    </row>
    <row r="7" spans="1:106" x14ac:dyDescent="0.35">
      <c r="A7" s="8">
        <v>4</v>
      </c>
      <c r="B7" s="6">
        <v>3439163.6498833238</v>
      </c>
      <c r="D7" t="s">
        <v>24</v>
      </c>
      <c r="E7" s="6">
        <v>990979.66681866988</v>
      </c>
      <c r="G7" s="5">
        <v>3</v>
      </c>
      <c r="H7" s="5">
        <v>9900000</v>
      </c>
      <c r="I7" s="2">
        <v>26325449.602696978</v>
      </c>
      <c r="J7" s="2">
        <v>44301986.116847314</v>
      </c>
      <c r="K7" s="2">
        <v>332264.89587635489</v>
      </c>
      <c r="L7" s="2">
        <v>43969721.220970958</v>
      </c>
      <c r="N7" s="2">
        <v>100000</v>
      </c>
      <c r="O7" s="2">
        <v>50000</v>
      </c>
      <c r="P7" s="2">
        <v>3000</v>
      </c>
      <c r="Q7" s="2">
        <v>332264.89587635489</v>
      </c>
      <c r="R7" s="2">
        <v>57336.516472146133</v>
      </c>
      <c r="S7" s="2">
        <v>327928.37940420874</v>
      </c>
      <c r="U7" s="3">
        <v>0.83374990592399989</v>
      </c>
      <c r="V7" s="2">
        <v>273410.25547806878</v>
      </c>
      <c r="X7" s="3">
        <v>0.20066213722147822</v>
      </c>
      <c r="Y7" s="3">
        <v>1.222952002051868</v>
      </c>
    </row>
    <row r="8" spans="1:106" x14ac:dyDescent="0.35">
      <c r="A8" s="8">
        <v>5</v>
      </c>
      <c r="B8" s="6">
        <v>1326648.3939725959</v>
      </c>
      <c r="D8" t="s">
        <v>25</v>
      </c>
      <c r="E8" s="6">
        <v>1616133.9815616587</v>
      </c>
      <c r="G8" s="5">
        <v>4</v>
      </c>
      <c r="H8" s="5">
        <v>9900000</v>
      </c>
      <c r="I8" s="2">
        <v>43969721.220970958</v>
      </c>
      <c r="J8" s="2">
        <v>57741745.508356862</v>
      </c>
      <c r="K8" s="2">
        <v>433063.09131267644</v>
      </c>
      <c r="L8" s="2">
        <v>57308682.417044185</v>
      </c>
      <c r="N8" s="2">
        <v>100000</v>
      </c>
      <c r="O8" s="2">
        <v>50000</v>
      </c>
      <c r="P8" s="2">
        <v>3000</v>
      </c>
      <c r="Q8" s="2">
        <v>433063.09131267644</v>
      </c>
      <c r="R8" s="2">
        <v>81263.711667368654</v>
      </c>
      <c r="S8" s="2">
        <v>404799.37964530778</v>
      </c>
      <c r="U8" s="3">
        <v>0.82192733225799763</v>
      </c>
      <c r="V8" s="2">
        <v>332715.67421156022</v>
      </c>
      <c r="X8" s="3">
        <v>-0.55466338148252725</v>
      </c>
      <c r="Y8" s="3">
        <v>1.0718775631212765</v>
      </c>
    </row>
    <row r="9" spans="1:106" x14ac:dyDescent="0.35">
      <c r="A9" s="8">
        <v>6</v>
      </c>
      <c r="B9" s="6">
        <v>1889662.4692051574</v>
      </c>
      <c r="D9" t="s">
        <v>26</v>
      </c>
      <c r="E9" s="6">
        <v>2662572.2979042977</v>
      </c>
      <c r="G9" s="5">
        <v>5</v>
      </c>
      <c r="H9" s="5">
        <v>9900000</v>
      </c>
      <c r="I9" s="2">
        <v>57308682.417044185</v>
      </c>
      <c r="J9" s="2">
        <v>72491827.963096499</v>
      </c>
      <c r="K9" s="2">
        <v>543688.7097232237</v>
      </c>
      <c r="L9" s="2">
        <v>71948139.25337328</v>
      </c>
      <c r="N9" s="2">
        <v>100000</v>
      </c>
      <c r="O9" s="2">
        <v>50000</v>
      </c>
      <c r="P9" s="2">
        <v>3000</v>
      </c>
      <c r="Q9" s="2">
        <v>543688.7097232237</v>
      </c>
      <c r="R9" s="2">
        <v>110944.03072870159</v>
      </c>
      <c r="S9" s="2">
        <v>485744.67899452208</v>
      </c>
      <c r="U9" s="3">
        <v>0.80925321279457929</v>
      </c>
      <c r="V9" s="2">
        <v>393090.44207418861</v>
      </c>
      <c r="X9" s="3">
        <v>-0.51880601659737469</v>
      </c>
      <c r="Y9" s="3">
        <v>1.0786080809212903</v>
      </c>
    </row>
    <row r="10" spans="1:106" x14ac:dyDescent="0.35">
      <c r="A10" s="8">
        <v>7</v>
      </c>
      <c r="B10" s="6">
        <v>1267483.960291941</v>
      </c>
      <c r="D10" t="s">
        <v>27</v>
      </c>
      <c r="E10">
        <v>3</v>
      </c>
      <c r="G10" s="5">
        <v>6</v>
      </c>
      <c r="H10" s="5">
        <v>9900000</v>
      </c>
      <c r="I10" s="2">
        <v>71948139.25337328</v>
      </c>
      <c r="J10" s="2">
        <v>110258116.23341762</v>
      </c>
      <c r="K10" s="2">
        <v>826935.87175063207</v>
      </c>
      <c r="L10" s="2">
        <v>109431180.36166698</v>
      </c>
      <c r="N10" s="2">
        <v>100000</v>
      </c>
      <c r="O10" s="2">
        <v>50000</v>
      </c>
      <c r="P10" s="2">
        <v>3000</v>
      </c>
      <c r="Q10" s="2">
        <v>826935.87175063207</v>
      </c>
      <c r="R10" s="2">
        <v>183844.38300760053</v>
      </c>
      <c r="S10" s="2">
        <v>696091.48874303151</v>
      </c>
      <c r="U10" s="3">
        <v>0.7956577588196303</v>
      </c>
      <c r="V10" s="2">
        <v>553850.59386670042</v>
      </c>
      <c r="X10" s="3">
        <v>0.75454872342089918</v>
      </c>
      <c r="Y10" s="3">
        <v>1.3471059603700575</v>
      </c>
    </row>
    <row r="11" spans="1:106" x14ac:dyDescent="0.35">
      <c r="A11" s="8">
        <v>8</v>
      </c>
      <c r="B11" s="6">
        <v>1915440.6958741639</v>
      </c>
      <c r="D11" t="s">
        <v>28</v>
      </c>
      <c r="E11">
        <v>996</v>
      </c>
      <c r="G11" s="5">
        <v>7</v>
      </c>
      <c r="H11" s="5">
        <v>9900000</v>
      </c>
      <c r="I11" s="2">
        <v>109431180.36166698</v>
      </c>
      <c r="J11" s="2">
        <v>96029085.076042309</v>
      </c>
      <c r="K11" s="2">
        <v>720218.13807031733</v>
      </c>
      <c r="L11" s="2">
        <v>95308866.937971994</v>
      </c>
      <c r="N11" s="2">
        <v>100000</v>
      </c>
      <c r="O11" s="2">
        <v>50000</v>
      </c>
      <c r="P11" s="2">
        <v>3000</v>
      </c>
      <c r="Q11" s="2">
        <v>720218.13807031733</v>
      </c>
      <c r="R11" s="2">
        <v>174987.07969811661</v>
      </c>
      <c r="S11" s="2">
        <v>598231.0583722007</v>
      </c>
      <c r="U11" s="3">
        <v>0.78104948236770189</v>
      </c>
      <c r="V11" s="2">
        <v>467248.0584778898</v>
      </c>
      <c r="X11" s="3">
        <v>-2.1967923022878884</v>
      </c>
      <c r="Y11" s="3">
        <v>0.80472752205248399</v>
      </c>
    </row>
    <row r="12" spans="1:106" x14ac:dyDescent="0.35">
      <c r="A12" s="8">
        <v>9</v>
      </c>
      <c r="B12" s="6">
        <v>2115246.7122398866</v>
      </c>
      <c r="D12" t="s">
        <v>558</v>
      </c>
      <c r="E12" s="6">
        <v>990979.66681866988</v>
      </c>
      <c r="G12" s="5">
        <v>8</v>
      </c>
      <c r="H12" s="5">
        <v>9900000</v>
      </c>
      <c r="I12" s="2">
        <v>95308866.937971994</v>
      </c>
      <c r="J12" s="2">
        <v>140596004.31144133</v>
      </c>
      <c r="K12" s="2">
        <v>1054470.0323358101</v>
      </c>
      <c r="L12" s="2">
        <v>139541534.27910551</v>
      </c>
      <c r="N12" s="2">
        <v>100000</v>
      </c>
      <c r="O12" s="2">
        <v>50000</v>
      </c>
      <c r="P12" s="2">
        <v>3000</v>
      </c>
      <c r="Q12" s="2">
        <v>1054470.0323358101</v>
      </c>
      <c r="R12" s="2">
        <v>280757.56696956028</v>
      </c>
      <c r="S12" s="2">
        <v>826712.4653662499</v>
      </c>
      <c r="U12" s="3">
        <v>0.7653347667824637</v>
      </c>
      <c r="V12" s="2">
        <v>632711.79187723447</v>
      </c>
      <c r="X12" s="3">
        <v>0.70863208807491518</v>
      </c>
      <c r="Y12" s="3">
        <v>1.3363512829610886</v>
      </c>
    </row>
    <row r="13" spans="1:106" x14ac:dyDescent="0.35">
      <c r="A13" s="8">
        <v>10</v>
      </c>
      <c r="B13" s="6">
        <v>1139048.4487427548</v>
      </c>
      <c r="D13" t="s">
        <v>559</v>
      </c>
      <c r="E13" s="6">
        <v>689316.8974070556</v>
      </c>
      <c r="G13" s="5">
        <v>9</v>
      </c>
      <c r="H13" s="5">
        <v>9900000</v>
      </c>
      <c r="I13" s="2">
        <v>139541534.27910551</v>
      </c>
      <c r="J13" s="2">
        <v>206294773.42612082</v>
      </c>
      <c r="K13" s="2">
        <v>1547210.8006959064</v>
      </c>
      <c r="L13" s="2">
        <v>204747562.62542492</v>
      </c>
      <c r="N13" s="2">
        <v>100000</v>
      </c>
      <c r="O13" s="2">
        <v>50000</v>
      </c>
      <c r="P13" s="2">
        <v>3000</v>
      </c>
      <c r="Q13" s="2">
        <v>1547210.8006959064</v>
      </c>
      <c r="R13" s="2">
        <v>452287.36583956366</v>
      </c>
      <c r="S13" s="2">
        <v>1147923.4348563426</v>
      </c>
      <c r="U13" s="3">
        <v>0.74842852178423913</v>
      </c>
      <c r="V13" s="2">
        <v>859138.6394710188</v>
      </c>
      <c r="X13" s="3">
        <v>0.89456445607369617</v>
      </c>
      <c r="Y13" s="3">
        <v>1.3804380048777669</v>
      </c>
    </row>
    <row r="14" spans="1:106" x14ac:dyDescent="0.35">
      <c r="A14" s="8">
        <v>11</v>
      </c>
      <c r="B14" s="6">
        <v>1389674.9639494768</v>
      </c>
      <c r="G14" s="5">
        <v>10</v>
      </c>
      <c r="H14" s="5">
        <v>9900000</v>
      </c>
      <c r="I14" s="2">
        <v>204747562.62542492</v>
      </c>
      <c r="J14" s="2">
        <v>279038259.0983423</v>
      </c>
      <c r="K14" s="2">
        <v>2092786.9432375673</v>
      </c>
      <c r="L14" s="2">
        <v>276945472.15510476</v>
      </c>
      <c r="N14" s="2">
        <v>100000</v>
      </c>
      <c r="O14" s="2">
        <v>50000</v>
      </c>
      <c r="P14" s="2">
        <v>3000</v>
      </c>
      <c r="Q14" s="2">
        <v>2092786.9432375673</v>
      </c>
      <c r="R14" s="2">
        <v>0</v>
      </c>
      <c r="S14" s="2">
        <v>2145786.9432375673</v>
      </c>
      <c r="U14" s="3">
        <v>0.74842852178423913</v>
      </c>
      <c r="V14" s="2">
        <v>1605968.1499912136</v>
      </c>
      <c r="X14" s="3">
        <v>0.55057624033745967</v>
      </c>
      <c r="Y14" s="3">
        <v>1.2999833573013064</v>
      </c>
    </row>
    <row r="15" spans="1:106" x14ac:dyDescent="0.35">
      <c r="A15" s="8">
        <v>12</v>
      </c>
      <c r="B15" s="6">
        <v>1541193.5461076314</v>
      </c>
    </row>
    <row r="16" spans="1:106" x14ac:dyDescent="0.35">
      <c r="A16" s="8">
        <v>13</v>
      </c>
      <c r="B16" s="6">
        <v>784756.95437084942</v>
      </c>
    </row>
    <row r="17" spans="1:2" x14ac:dyDescent="0.35">
      <c r="A17" s="8">
        <v>14</v>
      </c>
      <c r="B17" s="6">
        <v>1571412.5954781515</v>
      </c>
    </row>
    <row r="18" spans="1:2" x14ac:dyDescent="0.35">
      <c r="A18" s="8">
        <v>15</v>
      </c>
      <c r="B18" s="6">
        <v>1131043.2786008597</v>
      </c>
    </row>
    <row r="19" spans="1:2" x14ac:dyDescent="0.35">
      <c r="A19" s="8">
        <v>16</v>
      </c>
      <c r="B19" s="6">
        <v>1395873.1659368086</v>
      </c>
    </row>
    <row r="20" spans="1:2" x14ac:dyDescent="0.35">
      <c r="A20" s="8">
        <v>17</v>
      </c>
      <c r="B20" s="6">
        <v>1073851.7025144526</v>
      </c>
    </row>
    <row r="21" spans="1:2" x14ac:dyDescent="0.35">
      <c r="A21" s="8">
        <v>18</v>
      </c>
      <c r="B21" s="6">
        <v>1847851.6419469274</v>
      </c>
    </row>
    <row r="22" spans="1:2" x14ac:dyDescent="0.35">
      <c r="A22" s="8">
        <v>19</v>
      </c>
      <c r="B22" s="6">
        <v>1446371.6438677285</v>
      </c>
    </row>
    <row r="23" spans="1:2" x14ac:dyDescent="0.35">
      <c r="A23" s="8">
        <v>20</v>
      </c>
      <c r="B23" s="6">
        <v>3134231.2208252191</v>
      </c>
    </row>
    <row r="24" spans="1:2" x14ac:dyDescent="0.35">
      <c r="A24" s="8">
        <v>21</v>
      </c>
      <c r="B24" s="6">
        <v>1610598.0724966114</v>
      </c>
    </row>
    <row r="25" spans="1:2" x14ac:dyDescent="0.35">
      <c r="A25" s="8">
        <v>22</v>
      </c>
      <c r="B25" s="6">
        <v>1620160.4827896359</v>
      </c>
    </row>
    <row r="26" spans="1:2" x14ac:dyDescent="0.35">
      <c r="A26" s="8">
        <v>23</v>
      </c>
      <c r="B26" s="6">
        <v>1844028.4607875156</v>
      </c>
    </row>
    <row r="27" spans="1:2" x14ac:dyDescent="0.35">
      <c r="A27" s="8">
        <v>24</v>
      </c>
      <c r="B27" s="6">
        <v>1311126.8971751353</v>
      </c>
    </row>
    <row r="28" spans="1:2" x14ac:dyDescent="0.35">
      <c r="A28" s="8">
        <v>25</v>
      </c>
      <c r="B28" s="6">
        <v>1256786.8510450181</v>
      </c>
    </row>
    <row r="29" spans="1:2" x14ac:dyDescent="0.35">
      <c r="A29" s="8">
        <v>26</v>
      </c>
      <c r="B29" s="6">
        <v>1421296.2250819653</v>
      </c>
    </row>
    <row r="30" spans="1:2" x14ac:dyDescent="0.35">
      <c r="A30" s="8">
        <v>27</v>
      </c>
      <c r="B30" s="6">
        <v>2133637.2580687176</v>
      </c>
    </row>
    <row r="31" spans="1:2" x14ac:dyDescent="0.35">
      <c r="A31" s="8">
        <v>28</v>
      </c>
      <c r="B31" s="6">
        <v>1376968.2736789463</v>
      </c>
    </row>
    <row r="32" spans="1:2" x14ac:dyDescent="0.35">
      <c r="A32" s="8">
        <v>29</v>
      </c>
      <c r="B32" s="6">
        <v>1528040.854599104</v>
      </c>
    </row>
    <row r="33" spans="1:2" x14ac:dyDescent="0.35">
      <c r="A33" s="8">
        <v>30</v>
      </c>
      <c r="B33" s="6">
        <v>1427573.1238490976</v>
      </c>
    </row>
    <row r="34" spans="1:2" x14ac:dyDescent="0.35">
      <c r="A34" s="8">
        <v>31</v>
      </c>
      <c r="B34" s="6">
        <v>2515800.0075809602</v>
      </c>
    </row>
    <row r="35" spans="1:2" x14ac:dyDescent="0.35">
      <c r="A35" s="8">
        <v>32</v>
      </c>
      <c r="B35" s="6">
        <v>1670421.53186401</v>
      </c>
    </row>
    <row r="36" spans="1:2" x14ac:dyDescent="0.35">
      <c r="A36" s="8">
        <v>33</v>
      </c>
      <c r="B36" s="6">
        <v>1498290.5154540171</v>
      </c>
    </row>
    <row r="37" spans="1:2" x14ac:dyDescent="0.35">
      <c r="A37" s="8">
        <v>34</v>
      </c>
      <c r="B37" s="6">
        <v>1631449.5518957628</v>
      </c>
    </row>
    <row r="38" spans="1:2" x14ac:dyDescent="0.35">
      <c r="A38" s="8">
        <v>35</v>
      </c>
      <c r="B38" s="6">
        <v>1530090.4483979086</v>
      </c>
    </row>
    <row r="39" spans="1:2" x14ac:dyDescent="0.35">
      <c r="A39" s="8">
        <v>36</v>
      </c>
      <c r="B39" s="6">
        <v>1912362.7122988629</v>
      </c>
    </row>
    <row r="40" spans="1:2" x14ac:dyDescent="0.35">
      <c r="A40" s="8">
        <v>37</v>
      </c>
      <c r="B40" s="6">
        <v>1882132.0329758236</v>
      </c>
    </row>
    <row r="41" spans="1:2" x14ac:dyDescent="0.35">
      <c r="A41" s="8">
        <v>38</v>
      </c>
      <c r="B41" s="6">
        <v>2235857.579976643</v>
      </c>
    </row>
    <row r="42" spans="1:2" x14ac:dyDescent="0.35">
      <c r="A42" s="8">
        <v>39</v>
      </c>
      <c r="B42" s="6">
        <v>1172702.1076181107</v>
      </c>
    </row>
    <row r="43" spans="1:2" x14ac:dyDescent="0.35">
      <c r="A43" s="8">
        <v>40</v>
      </c>
      <c r="B43" s="6">
        <v>2676004.6898986194</v>
      </c>
    </row>
    <row r="44" spans="1:2" x14ac:dyDescent="0.35">
      <c r="A44" s="8">
        <v>41</v>
      </c>
      <c r="B44" s="6">
        <v>1036803.9397647181</v>
      </c>
    </row>
    <row r="45" spans="1:2" x14ac:dyDescent="0.35">
      <c r="A45" s="8">
        <v>42</v>
      </c>
      <c r="B45" s="6">
        <v>1536646.4845690408</v>
      </c>
    </row>
    <row r="46" spans="1:2" x14ac:dyDescent="0.35">
      <c r="A46" s="8">
        <v>43</v>
      </c>
      <c r="B46" s="6">
        <v>1714599.4690959454</v>
      </c>
    </row>
    <row r="47" spans="1:2" x14ac:dyDescent="0.35">
      <c r="A47" s="8">
        <v>44</v>
      </c>
      <c r="B47" s="6">
        <v>1937804.4769294932</v>
      </c>
    </row>
    <row r="48" spans="1:2" x14ac:dyDescent="0.35">
      <c r="A48" s="8">
        <v>45</v>
      </c>
      <c r="B48" s="6">
        <v>1233748.7539039175</v>
      </c>
    </row>
    <row r="49" spans="1:2" x14ac:dyDescent="0.35">
      <c r="A49" s="8">
        <v>46</v>
      </c>
      <c r="B49" s="6">
        <v>4173030.3856423986</v>
      </c>
    </row>
    <row r="50" spans="1:2" x14ac:dyDescent="0.35">
      <c r="A50" s="8">
        <v>47</v>
      </c>
      <c r="B50" s="6">
        <v>940398.75077543978</v>
      </c>
    </row>
    <row r="51" spans="1:2" x14ac:dyDescent="0.35">
      <c r="A51" s="8">
        <v>48</v>
      </c>
      <c r="B51" s="6">
        <v>1952205.7736429758</v>
      </c>
    </row>
    <row r="52" spans="1:2" x14ac:dyDescent="0.35">
      <c r="A52" s="8">
        <v>49</v>
      </c>
      <c r="B52" s="6">
        <v>1984934.5543887268</v>
      </c>
    </row>
    <row r="53" spans="1:2" x14ac:dyDescent="0.35">
      <c r="A53" s="8">
        <v>50</v>
      </c>
      <c r="B53" s="6">
        <v>1636129.7093626861</v>
      </c>
    </row>
    <row r="54" spans="1:2" x14ac:dyDescent="0.35">
      <c r="A54" s="8">
        <v>51</v>
      </c>
      <c r="B54" s="6">
        <v>1375116.9155378609</v>
      </c>
    </row>
    <row r="55" spans="1:2" x14ac:dyDescent="0.35">
      <c r="A55" s="8">
        <v>52</v>
      </c>
      <c r="B55" s="6">
        <v>1666119.8415812009</v>
      </c>
    </row>
    <row r="56" spans="1:2" x14ac:dyDescent="0.35">
      <c r="A56" s="8">
        <v>53</v>
      </c>
      <c r="B56" s="6">
        <v>1194398.7018168783</v>
      </c>
    </row>
    <row r="57" spans="1:2" x14ac:dyDescent="0.35">
      <c r="A57" s="8">
        <v>54</v>
      </c>
      <c r="B57" s="6">
        <v>1803171.9849222661</v>
      </c>
    </row>
    <row r="58" spans="1:2" x14ac:dyDescent="0.35">
      <c r="A58" s="8">
        <v>55</v>
      </c>
      <c r="B58" s="6">
        <v>1891703.1584999496</v>
      </c>
    </row>
    <row r="59" spans="1:2" x14ac:dyDescent="0.35">
      <c r="A59" s="8">
        <v>56</v>
      </c>
      <c r="B59" s="6">
        <v>1768313.6369648762</v>
      </c>
    </row>
    <row r="60" spans="1:2" x14ac:dyDescent="0.35">
      <c r="A60" s="8">
        <v>57</v>
      </c>
      <c r="B60" s="6">
        <v>1169111.2075460206</v>
      </c>
    </row>
    <row r="61" spans="1:2" x14ac:dyDescent="0.35">
      <c r="A61" s="8">
        <v>58</v>
      </c>
      <c r="B61" s="6">
        <v>1798255.2076011612</v>
      </c>
    </row>
    <row r="62" spans="1:2" x14ac:dyDescent="0.35">
      <c r="A62" s="8">
        <v>59</v>
      </c>
      <c r="B62" s="6">
        <v>1732072.2071983104</v>
      </c>
    </row>
    <row r="63" spans="1:2" x14ac:dyDescent="0.35">
      <c r="A63" s="8">
        <v>60</v>
      </c>
      <c r="B63" s="6">
        <v>1776691.3688528854</v>
      </c>
    </row>
    <row r="64" spans="1:2" x14ac:dyDescent="0.35">
      <c r="A64" s="8">
        <v>61</v>
      </c>
      <c r="B64" s="6">
        <v>1710875.5666535967</v>
      </c>
    </row>
    <row r="65" spans="1:2" x14ac:dyDescent="0.35">
      <c r="A65" s="8">
        <v>62</v>
      </c>
      <c r="B65" s="6">
        <v>1731803.113206933</v>
      </c>
    </row>
    <row r="66" spans="1:2" x14ac:dyDescent="0.35">
      <c r="A66" s="8">
        <v>63</v>
      </c>
      <c r="B66" s="6">
        <v>1442020.4376994516</v>
      </c>
    </row>
    <row r="67" spans="1:2" x14ac:dyDescent="0.35">
      <c r="A67" s="8">
        <v>64</v>
      </c>
      <c r="B67" s="6">
        <v>1546442.7322271673</v>
      </c>
    </row>
    <row r="68" spans="1:2" x14ac:dyDescent="0.35">
      <c r="A68" s="8">
        <v>65</v>
      </c>
      <c r="B68" s="6">
        <v>1692228.9880281074</v>
      </c>
    </row>
    <row r="69" spans="1:2" x14ac:dyDescent="0.35">
      <c r="A69" s="8">
        <v>66</v>
      </c>
      <c r="B69" s="6">
        <v>1221752.4247753783</v>
      </c>
    </row>
    <row r="70" spans="1:2" x14ac:dyDescent="0.35">
      <c r="A70" s="8">
        <v>67</v>
      </c>
      <c r="B70" s="6">
        <v>2001099.7489777948</v>
      </c>
    </row>
    <row r="71" spans="1:2" x14ac:dyDescent="0.35">
      <c r="A71" s="8">
        <v>68</v>
      </c>
      <c r="B71" s="6">
        <v>1664433.9894967007</v>
      </c>
    </row>
    <row r="72" spans="1:2" x14ac:dyDescent="0.35">
      <c r="A72" s="8">
        <v>69</v>
      </c>
      <c r="B72" s="6">
        <v>986660.13542822306</v>
      </c>
    </row>
    <row r="73" spans="1:2" x14ac:dyDescent="0.35">
      <c r="A73" s="8">
        <v>70</v>
      </c>
      <c r="B73" s="6">
        <v>1389528.4846282657</v>
      </c>
    </row>
    <row r="74" spans="1:2" x14ac:dyDescent="0.35">
      <c r="A74" s="8">
        <v>71</v>
      </c>
      <c r="B74" s="6">
        <v>2043553.86813051</v>
      </c>
    </row>
    <row r="75" spans="1:2" x14ac:dyDescent="0.35">
      <c r="A75" s="8">
        <v>72</v>
      </c>
      <c r="B75" s="6">
        <v>1520040.6570215207</v>
      </c>
    </row>
    <row r="76" spans="1:2" x14ac:dyDescent="0.35">
      <c r="A76" s="8">
        <v>73</v>
      </c>
      <c r="B76" s="6">
        <v>1419182.6743720993</v>
      </c>
    </row>
    <row r="77" spans="1:2" x14ac:dyDescent="0.35">
      <c r="A77" s="8">
        <v>74</v>
      </c>
      <c r="B77" s="6">
        <v>1206836.5235008185</v>
      </c>
    </row>
    <row r="78" spans="1:2" x14ac:dyDescent="0.35">
      <c r="A78" s="8">
        <v>75</v>
      </c>
      <c r="B78" s="6">
        <v>1520002.2254945748</v>
      </c>
    </row>
    <row r="79" spans="1:2" x14ac:dyDescent="0.35">
      <c r="A79" s="8">
        <v>76</v>
      </c>
      <c r="B79" s="6">
        <v>1925601.7953627908</v>
      </c>
    </row>
    <row r="80" spans="1:2" x14ac:dyDescent="0.35">
      <c r="A80" s="8">
        <v>77</v>
      </c>
      <c r="B80" s="6">
        <v>1764576.7145041982</v>
      </c>
    </row>
    <row r="81" spans="1:2" x14ac:dyDescent="0.35">
      <c r="A81" s="8">
        <v>78</v>
      </c>
      <c r="B81" s="6">
        <v>3386448.5377467703</v>
      </c>
    </row>
    <row r="82" spans="1:2" x14ac:dyDescent="0.35">
      <c r="A82" s="8">
        <v>79</v>
      </c>
      <c r="B82" s="6">
        <v>1290055.9230475579</v>
      </c>
    </row>
    <row r="83" spans="1:2" x14ac:dyDescent="0.35">
      <c r="A83" s="8">
        <v>80</v>
      </c>
      <c r="B83" s="6">
        <v>1460861.0319050872</v>
      </c>
    </row>
    <row r="84" spans="1:2" x14ac:dyDescent="0.35">
      <c r="A84" s="8">
        <v>81</v>
      </c>
      <c r="B84" s="6">
        <v>1306440.8403939588</v>
      </c>
    </row>
    <row r="85" spans="1:2" x14ac:dyDescent="0.35">
      <c r="A85" s="8">
        <v>82</v>
      </c>
      <c r="B85" s="6">
        <v>2409397.3776861802</v>
      </c>
    </row>
    <row r="86" spans="1:2" x14ac:dyDescent="0.35">
      <c r="A86" s="8">
        <v>83</v>
      </c>
      <c r="B86" s="6">
        <v>1734857.6180233816</v>
      </c>
    </row>
    <row r="87" spans="1:2" x14ac:dyDescent="0.35">
      <c r="A87" s="8">
        <v>84</v>
      </c>
      <c r="B87" s="6">
        <v>1200933.5926944246</v>
      </c>
    </row>
    <row r="88" spans="1:2" x14ac:dyDescent="0.35">
      <c r="A88" s="8">
        <v>85</v>
      </c>
      <c r="B88" s="6">
        <v>1327074.5153246853</v>
      </c>
    </row>
    <row r="89" spans="1:2" x14ac:dyDescent="0.35">
      <c r="A89" s="8">
        <v>86</v>
      </c>
      <c r="B89" s="6">
        <v>1371272.6708500644</v>
      </c>
    </row>
    <row r="90" spans="1:2" x14ac:dyDescent="0.35">
      <c r="A90" s="8">
        <v>87</v>
      </c>
      <c r="B90" s="6">
        <v>774437.46083615848</v>
      </c>
    </row>
    <row r="91" spans="1:2" x14ac:dyDescent="0.35">
      <c r="A91" s="8">
        <v>88</v>
      </c>
      <c r="B91" s="6">
        <v>2114417.2709839018</v>
      </c>
    </row>
    <row r="92" spans="1:2" x14ac:dyDescent="0.35">
      <c r="A92" s="8">
        <v>89</v>
      </c>
      <c r="B92" s="6">
        <v>1428125.9376683452</v>
      </c>
    </row>
    <row r="93" spans="1:2" x14ac:dyDescent="0.35">
      <c r="A93" s="8">
        <v>90</v>
      </c>
      <c r="B93" s="6">
        <v>1541775.1696630565</v>
      </c>
    </row>
    <row r="94" spans="1:2" x14ac:dyDescent="0.35">
      <c r="A94" s="8">
        <v>91</v>
      </c>
      <c r="B94" s="6">
        <v>1804957.7337088371</v>
      </c>
    </row>
    <row r="95" spans="1:2" x14ac:dyDescent="0.35">
      <c r="A95" s="8">
        <v>92</v>
      </c>
      <c r="B95" s="6">
        <v>1818537.6532304424</v>
      </c>
    </row>
    <row r="96" spans="1:2" x14ac:dyDescent="0.35">
      <c r="A96" s="8">
        <v>93</v>
      </c>
      <c r="B96" s="6">
        <v>1189813.1014881397</v>
      </c>
    </row>
    <row r="97" spans="1:2" x14ac:dyDescent="0.35">
      <c r="A97" s="8">
        <v>94</v>
      </c>
      <c r="B97" s="6">
        <v>2565684.2976808259</v>
      </c>
    </row>
    <row r="98" spans="1:2" x14ac:dyDescent="0.35">
      <c r="A98" s="8">
        <v>95</v>
      </c>
      <c r="B98" s="6">
        <v>1546008.7250905556</v>
      </c>
    </row>
    <row r="99" spans="1:2" x14ac:dyDescent="0.35">
      <c r="A99" s="8">
        <v>96</v>
      </c>
      <c r="B99" s="6">
        <v>2240506.593711663</v>
      </c>
    </row>
    <row r="100" spans="1:2" x14ac:dyDescent="0.35">
      <c r="A100" s="8">
        <v>97</v>
      </c>
      <c r="B100" s="6">
        <v>1300348.7921828991</v>
      </c>
    </row>
    <row r="101" spans="1:2" x14ac:dyDescent="0.35">
      <c r="A101" s="8">
        <v>98</v>
      </c>
      <c r="B101" s="6">
        <v>3035326.6802363941</v>
      </c>
    </row>
    <row r="102" spans="1:2" x14ac:dyDescent="0.35">
      <c r="A102" s="8">
        <v>99</v>
      </c>
      <c r="B102" s="6">
        <v>2446272.2854707213</v>
      </c>
    </row>
    <row r="103" spans="1:2" x14ac:dyDescent="0.35">
      <c r="A103" s="8">
        <v>100</v>
      </c>
      <c r="B103" s="6">
        <v>2293147.1825246136</v>
      </c>
    </row>
    <row r="104" spans="1:2" x14ac:dyDescent="0.35">
      <c r="A104" s="8">
        <v>101</v>
      </c>
      <c r="B104" s="6">
        <v>3032957.6943137837</v>
      </c>
    </row>
    <row r="105" spans="1:2" x14ac:dyDescent="0.35">
      <c r="A105" s="8">
        <v>102</v>
      </c>
      <c r="B105" s="6">
        <v>2540023.0141624962</v>
      </c>
    </row>
    <row r="106" spans="1:2" x14ac:dyDescent="0.35">
      <c r="A106" s="8">
        <v>103</v>
      </c>
      <c r="B106" s="6">
        <v>1638475.8474500189</v>
      </c>
    </row>
    <row r="107" spans="1:2" x14ac:dyDescent="0.35">
      <c r="A107" s="8">
        <v>104</v>
      </c>
      <c r="B107" s="6">
        <v>1554017.1544811965</v>
      </c>
    </row>
    <row r="108" spans="1:2" x14ac:dyDescent="0.35">
      <c r="A108" s="8">
        <v>105</v>
      </c>
      <c r="B108" s="6">
        <v>1936662.2187391475</v>
      </c>
    </row>
    <row r="109" spans="1:2" x14ac:dyDescent="0.35">
      <c r="A109" s="8">
        <v>106</v>
      </c>
      <c r="B109" s="6">
        <v>1180128.4856876442</v>
      </c>
    </row>
    <row r="110" spans="1:2" x14ac:dyDescent="0.35">
      <c r="A110" s="8">
        <v>107</v>
      </c>
      <c r="B110" s="6">
        <v>1208750.042661624</v>
      </c>
    </row>
    <row r="111" spans="1:2" x14ac:dyDescent="0.35">
      <c r="A111" s="8">
        <v>108</v>
      </c>
      <c r="B111" s="6">
        <v>1555952.5686049529</v>
      </c>
    </row>
    <row r="112" spans="1:2" x14ac:dyDescent="0.35">
      <c r="A112" s="8">
        <v>109</v>
      </c>
      <c r="B112" s="6">
        <v>1293815.6399063219</v>
      </c>
    </row>
    <row r="113" spans="1:2" x14ac:dyDescent="0.35">
      <c r="A113" s="8">
        <v>110</v>
      </c>
      <c r="B113" s="6">
        <v>1526725.4191210456</v>
      </c>
    </row>
    <row r="114" spans="1:2" x14ac:dyDescent="0.35">
      <c r="A114" s="8">
        <v>111</v>
      </c>
      <c r="B114" s="6">
        <v>1662276.5626611537</v>
      </c>
    </row>
    <row r="115" spans="1:2" x14ac:dyDescent="0.35">
      <c r="A115" s="8">
        <v>112</v>
      </c>
      <c r="B115" s="6">
        <v>1225974.5966635032</v>
      </c>
    </row>
    <row r="116" spans="1:2" x14ac:dyDescent="0.35">
      <c r="A116" s="8">
        <v>113</v>
      </c>
      <c r="B116" s="6">
        <v>2854959.6974327452</v>
      </c>
    </row>
    <row r="117" spans="1:2" x14ac:dyDescent="0.35">
      <c r="A117" s="8">
        <v>114</v>
      </c>
      <c r="B117" s="6">
        <v>1367993.0463779091</v>
      </c>
    </row>
    <row r="118" spans="1:2" x14ac:dyDescent="0.35">
      <c r="A118" s="8">
        <v>115</v>
      </c>
      <c r="B118" s="6">
        <v>1499361.6308626325</v>
      </c>
    </row>
    <row r="119" spans="1:2" x14ac:dyDescent="0.35">
      <c r="A119" s="8">
        <v>116</v>
      </c>
      <c r="B119" s="6">
        <v>1201777.6556872691</v>
      </c>
    </row>
    <row r="120" spans="1:2" x14ac:dyDescent="0.35">
      <c r="A120" s="8">
        <v>117</v>
      </c>
      <c r="B120" s="6">
        <v>1756050.1942018205</v>
      </c>
    </row>
    <row r="121" spans="1:2" x14ac:dyDescent="0.35">
      <c r="A121" s="8">
        <v>118</v>
      </c>
      <c r="B121" s="6">
        <v>2273359.2075515292</v>
      </c>
    </row>
    <row r="122" spans="1:2" x14ac:dyDescent="0.35">
      <c r="A122" s="8">
        <v>119</v>
      </c>
      <c r="B122" s="6">
        <v>2083473.6483984115</v>
      </c>
    </row>
    <row r="123" spans="1:2" x14ac:dyDescent="0.35">
      <c r="A123" s="8">
        <v>120</v>
      </c>
      <c r="B123" s="6">
        <v>2411788.3346212483</v>
      </c>
    </row>
    <row r="124" spans="1:2" x14ac:dyDescent="0.35">
      <c r="A124" s="8">
        <v>121</v>
      </c>
      <c r="B124" s="6">
        <v>1404908.5492711551</v>
      </c>
    </row>
    <row r="125" spans="1:2" x14ac:dyDescent="0.35">
      <c r="A125" s="8">
        <v>122</v>
      </c>
      <c r="B125" s="6">
        <v>1856675.9029130186</v>
      </c>
    </row>
    <row r="126" spans="1:2" x14ac:dyDescent="0.35">
      <c r="A126" s="8">
        <v>123</v>
      </c>
      <c r="B126" s="6">
        <v>1372190.3845240716</v>
      </c>
    </row>
    <row r="127" spans="1:2" x14ac:dyDescent="0.35">
      <c r="A127" s="8">
        <v>124</v>
      </c>
      <c r="B127" s="6">
        <v>1959255.9629592048</v>
      </c>
    </row>
    <row r="128" spans="1:2" x14ac:dyDescent="0.35">
      <c r="A128" s="8">
        <v>125</v>
      </c>
      <c r="B128" s="6">
        <v>1337972.8598497852</v>
      </c>
    </row>
    <row r="129" spans="1:2" x14ac:dyDescent="0.35">
      <c r="A129" s="8">
        <v>126</v>
      </c>
      <c r="B129" s="6">
        <v>1429809.2749288606</v>
      </c>
    </row>
    <row r="130" spans="1:2" x14ac:dyDescent="0.35">
      <c r="A130" s="8">
        <v>127</v>
      </c>
      <c r="B130" s="6">
        <v>1447460.7578793601</v>
      </c>
    </row>
    <row r="131" spans="1:2" x14ac:dyDescent="0.35">
      <c r="A131" s="8">
        <v>128</v>
      </c>
      <c r="B131" s="6">
        <v>1133730.4590189338</v>
      </c>
    </row>
    <row r="132" spans="1:2" x14ac:dyDescent="0.35">
      <c r="A132" s="8">
        <v>129</v>
      </c>
      <c r="B132" s="6">
        <v>1954019.0111991637</v>
      </c>
    </row>
    <row r="133" spans="1:2" x14ac:dyDescent="0.35">
      <c r="A133" s="8">
        <v>130</v>
      </c>
      <c r="B133" s="6">
        <v>2525449.2499625869</v>
      </c>
    </row>
    <row r="134" spans="1:2" x14ac:dyDescent="0.35">
      <c r="A134" s="8">
        <v>131</v>
      </c>
      <c r="B134" s="6">
        <v>1619135.9353425461</v>
      </c>
    </row>
    <row r="135" spans="1:2" x14ac:dyDescent="0.35">
      <c r="A135" s="8">
        <v>132</v>
      </c>
      <c r="B135" s="6">
        <v>1717284.8567116796</v>
      </c>
    </row>
    <row r="136" spans="1:2" x14ac:dyDescent="0.35">
      <c r="A136" s="8">
        <v>133</v>
      </c>
      <c r="B136" s="6">
        <v>2078464.9448683052</v>
      </c>
    </row>
    <row r="137" spans="1:2" x14ac:dyDescent="0.35">
      <c r="A137" s="8">
        <v>134</v>
      </c>
      <c r="B137" s="6">
        <v>1282782.4278626486</v>
      </c>
    </row>
    <row r="138" spans="1:2" x14ac:dyDescent="0.35">
      <c r="A138" s="8">
        <v>135</v>
      </c>
      <c r="B138" s="6">
        <v>1658024.3610600897</v>
      </c>
    </row>
    <row r="139" spans="1:2" x14ac:dyDescent="0.35">
      <c r="A139" s="8">
        <v>136</v>
      </c>
      <c r="B139" s="6">
        <v>2388976.859174144</v>
      </c>
    </row>
    <row r="140" spans="1:2" x14ac:dyDescent="0.35">
      <c r="A140" s="8">
        <v>137</v>
      </c>
      <c r="B140" s="6">
        <v>1237288.0554083278</v>
      </c>
    </row>
    <row r="141" spans="1:2" x14ac:dyDescent="0.35">
      <c r="A141" s="8">
        <v>138</v>
      </c>
      <c r="B141" s="6">
        <v>1430761.1359913482</v>
      </c>
    </row>
    <row r="142" spans="1:2" x14ac:dyDescent="0.35">
      <c r="A142" s="8">
        <v>139</v>
      </c>
      <c r="B142" s="6">
        <v>1421273.6691782828</v>
      </c>
    </row>
    <row r="143" spans="1:2" x14ac:dyDescent="0.35">
      <c r="A143" s="8">
        <v>140</v>
      </c>
      <c r="B143" s="6">
        <v>2461015.9829453533</v>
      </c>
    </row>
    <row r="144" spans="1:2" x14ac:dyDescent="0.35">
      <c r="A144" s="8">
        <v>141</v>
      </c>
      <c r="B144" s="6">
        <v>2206561.5920997737</v>
      </c>
    </row>
    <row r="145" spans="1:2" x14ac:dyDescent="0.35">
      <c r="A145" s="8">
        <v>142</v>
      </c>
      <c r="B145" s="6">
        <v>1685205.3082136267</v>
      </c>
    </row>
    <row r="146" spans="1:2" x14ac:dyDescent="0.35">
      <c r="A146" s="8">
        <v>143</v>
      </c>
      <c r="B146" s="6">
        <v>1531148.7456146032</v>
      </c>
    </row>
    <row r="147" spans="1:2" x14ac:dyDescent="0.35">
      <c r="A147" s="8">
        <v>144</v>
      </c>
      <c r="B147" s="6">
        <v>2288154.1256148042</v>
      </c>
    </row>
    <row r="148" spans="1:2" x14ac:dyDescent="0.35">
      <c r="A148" s="8">
        <v>145</v>
      </c>
      <c r="B148" s="6">
        <v>3212637.8368272213</v>
      </c>
    </row>
    <row r="149" spans="1:2" x14ac:dyDescent="0.35">
      <c r="A149" s="8">
        <v>146</v>
      </c>
      <c r="B149" s="6">
        <v>1286838.9662528313</v>
      </c>
    </row>
    <row r="150" spans="1:2" x14ac:dyDescent="0.35">
      <c r="A150" s="8">
        <v>147</v>
      </c>
      <c r="B150" s="6">
        <v>2161285.7815580163</v>
      </c>
    </row>
    <row r="151" spans="1:2" x14ac:dyDescent="0.35">
      <c r="A151" s="8">
        <v>148</v>
      </c>
      <c r="B151" s="6">
        <v>1365929.9769177623</v>
      </c>
    </row>
    <row r="152" spans="1:2" x14ac:dyDescent="0.35">
      <c r="A152" s="8">
        <v>149</v>
      </c>
      <c r="B152" s="6">
        <v>1575759.5293263502</v>
      </c>
    </row>
    <row r="153" spans="1:2" x14ac:dyDescent="0.35">
      <c r="A153" s="8">
        <v>150</v>
      </c>
      <c r="B153" s="6">
        <v>2629276.6382536786</v>
      </c>
    </row>
    <row r="154" spans="1:2" x14ac:dyDescent="0.35">
      <c r="A154" s="8">
        <v>151</v>
      </c>
      <c r="B154" s="6">
        <v>2280956.0737853665</v>
      </c>
    </row>
    <row r="155" spans="1:2" x14ac:dyDescent="0.35">
      <c r="A155" s="8">
        <v>152</v>
      </c>
      <c r="B155" s="6">
        <v>1332733.9948082999</v>
      </c>
    </row>
    <row r="156" spans="1:2" x14ac:dyDescent="0.35">
      <c r="A156" s="8">
        <v>153</v>
      </c>
      <c r="B156" s="6">
        <v>1777224.2655271208</v>
      </c>
    </row>
    <row r="157" spans="1:2" x14ac:dyDescent="0.35">
      <c r="A157" s="8">
        <v>154</v>
      </c>
      <c r="B157" s="6">
        <v>1984299.2810403893</v>
      </c>
    </row>
    <row r="158" spans="1:2" x14ac:dyDescent="0.35">
      <c r="A158" s="8">
        <v>155</v>
      </c>
      <c r="B158" s="6">
        <v>2139985.3127335934</v>
      </c>
    </row>
    <row r="159" spans="1:2" x14ac:dyDescent="0.35">
      <c r="A159" s="8">
        <v>156</v>
      </c>
      <c r="B159" s="6">
        <v>1703227.0834834848</v>
      </c>
    </row>
    <row r="160" spans="1:2" x14ac:dyDescent="0.35">
      <c r="A160" s="8">
        <v>157</v>
      </c>
      <c r="B160" s="6">
        <v>1634405.2249705498</v>
      </c>
    </row>
    <row r="161" spans="1:2" x14ac:dyDescent="0.35">
      <c r="A161" s="8">
        <v>158</v>
      </c>
      <c r="B161" s="6">
        <v>2486875.8727228339</v>
      </c>
    </row>
    <row r="162" spans="1:2" x14ac:dyDescent="0.35">
      <c r="A162" s="8">
        <v>159</v>
      </c>
      <c r="B162" s="6">
        <v>1133085.3501782774</v>
      </c>
    </row>
    <row r="163" spans="1:2" x14ac:dyDescent="0.35">
      <c r="A163" s="8">
        <v>160</v>
      </c>
      <c r="B163" s="6">
        <v>2113452.9871771368</v>
      </c>
    </row>
    <row r="164" spans="1:2" x14ac:dyDescent="0.35">
      <c r="A164" s="8">
        <v>161</v>
      </c>
      <c r="B164" s="6">
        <v>1812921.7240017029</v>
      </c>
    </row>
    <row r="165" spans="1:2" x14ac:dyDescent="0.35">
      <c r="A165" s="8">
        <v>162</v>
      </c>
      <c r="B165" s="6">
        <v>2577390.9005894</v>
      </c>
    </row>
    <row r="166" spans="1:2" x14ac:dyDescent="0.35">
      <c r="A166" s="8">
        <v>163</v>
      </c>
      <c r="B166" s="6">
        <v>944638.17445617763</v>
      </c>
    </row>
    <row r="167" spans="1:2" x14ac:dyDescent="0.35">
      <c r="A167" s="8">
        <v>164</v>
      </c>
      <c r="B167" s="6">
        <v>1949183.1772588801</v>
      </c>
    </row>
    <row r="168" spans="1:2" x14ac:dyDescent="0.35">
      <c r="A168" s="8">
        <v>165</v>
      </c>
      <c r="B168" s="6">
        <v>1684913.6141157125</v>
      </c>
    </row>
    <row r="169" spans="1:2" x14ac:dyDescent="0.35">
      <c r="A169" s="8">
        <v>166</v>
      </c>
      <c r="B169" s="6">
        <v>1506488.2584985276</v>
      </c>
    </row>
    <row r="170" spans="1:2" x14ac:dyDescent="0.35">
      <c r="A170" s="8">
        <v>167</v>
      </c>
      <c r="B170" s="6">
        <v>1252406.0477234905</v>
      </c>
    </row>
    <row r="171" spans="1:2" x14ac:dyDescent="0.35">
      <c r="A171" s="8">
        <v>168</v>
      </c>
      <c r="B171" s="6">
        <v>2093202.5077972207</v>
      </c>
    </row>
    <row r="172" spans="1:2" x14ac:dyDescent="0.35">
      <c r="A172" s="8">
        <v>169</v>
      </c>
      <c r="B172" s="6">
        <v>2495671.6333617382</v>
      </c>
    </row>
    <row r="173" spans="1:2" x14ac:dyDescent="0.35">
      <c r="A173" s="8">
        <v>170</v>
      </c>
      <c r="B173" s="6">
        <v>2370084.6525267977</v>
      </c>
    </row>
    <row r="174" spans="1:2" x14ac:dyDescent="0.35">
      <c r="A174" s="8">
        <v>171</v>
      </c>
      <c r="B174" s="6">
        <v>1628569.4908302424</v>
      </c>
    </row>
    <row r="175" spans="1:2" x14ac:dyDescent="0.35">
      <c r="A175" s="8">
        <v>172</v>
      </c>
      <c r="B175" s="6">
        <v>1318101.0836088853</v>
      </c>
    </row>
    <row r="176" spans="1:2" x14ac:dyDescent="0.35">
      <c r="A176" s="8">
        <v>173</v>
      </c>
      <c r="B176" s="6">
        <v>1453672.2496494367</v>
      </c>
    </row>
    <row r="177" spans="1:2" x14ac:dyDescent="0.35">
      <c r="A177" s="8">
        <v>174</v>
      </c>
      <c r="B177" s="6">
        <v>1317123.8959931368</v>
      </c>
    </row>
    <row r="178" spans="1:2" x14ac:dyDescent="0.35">
      <c r="A178" s="8">
        <v>175</v>
      </c>
      <c r="B178" s="6">
        <v>1146594.3962926599</v>
      </c>
    </row>
    <row r="179" spans="1:2" x14ac:dyDescent="0.35">
      <c r="A179" s="8">
        <v>176</v>
      </c>
      <c r="B179" s="6">
        <v>1585372.7600132867</v>
      </c>
    </row>
    <row r="180" spans="1:2" x14ac:dyDescent="0.35">
      <c r="A180" s="8">
        <v>177</v>
      </c>
      <c r="B180" s="6">
        <v>1250992.9110162857</v>
      </c>
    </row>
    <row r="181" spans="1:2" x14ac:dyDescent="0.35">
      <c r="A181" s="8">
        <v>178</v>
      </c>
      <c r="B181" s="6">
        <v>2147187.2263664673</v>
      </c>
    </row>
    <row r="182" spans="1:2" x14ac:dyDescent="0.35">
      <c r="A182" s="8">
        <v>179</v>
      </c>
      <c r="B182" s="6">
        <v>804997.19553901791</v>
      </c>
    </row>
    <row r="183" spans="1:2" x14ac:dyDescent="0.35">
      <c r="A183" s="8">
        <v>180</v>
      </c>
      <c r="B183" s="6">
        <v>1539715.6113007949</v>
      </c>
    </row>
    <row r="184" spans="1:2" x14ac:dyDescent="0.35">
      <c r="A184" s="8">
        <v>181</v>
      </c>
      <c r="B184" s="6">
        <v>1561719.0930884441</v>
      </c>
    </row>
    <row r="185" spans="1:2" x14ac:dyDescent="0.35">
      <c r="A185" s="8">
        <v>182</v>
      </c>
      <c r="B185" s="6">
        <v>2308031.4934388921</v>
      </c>
    </row>
    <row r="186" spans="1:2" x14ac:dyDescent="0.35">
      <c r="A186" s="8">
        <v>183</v>
      </c>
      <c r="B186" s="6">
        <v>2114390.5649348455</v>
      </c>
    </row>
    <row r="187" spans="1:2" x14ac:dyDescent="0.35">
      <c r="A187" s="8">
        <v>184</v>
      </c>
      <c r="B187" s="6">
        <v>1849782.8493475267</v>
      </c>
    </row>
    <row r="188" spans="1:2" x14ac:dyDescent="0.35">
      <c r="A188" s="8">
        <v>185</v>
      </c>
      <c r="B188" s="6">
        <v>1353074.2738465013</v>
      </c>
    </row>
    <row r="189" spans="1:2" x14ac:dyDescent="0.35">
      <c r="A189" s="8">
        <v>186</v>
      </c>
      <c r="B189" s="6">
        <v>2499380.0976319923</v>
      </c>
    </row>
    <row r="190" spans="1:2" x14ac:dyDescent="0.35">
      <c r="A190" s="8">
        <v>187</v>
      </c>
      <c r="B190" s="6">
        <v>1418207.470999954</v>
      </c>
    </row>
    <row r="191" spans="1:2" x14ac:dyDescent="0.35">
      <c r="A191" s="8">
        <v>188</v>
      </c>
      <c r="B191" s="6">
        <v>1842000.1568428902</v>
      </c>
    </row>
    <row r="192" spans="1:2" x14ac:dyDescent="0.35">
      <c r="A192" s="8">
        <v>189</v>
      </c>
      <c r="B192" s="6">
        <v>1446061.200555061</v>
      </c>
    </row>
    <row r="193" spans="1:2" x14ac:dyDescent="0.35">
      <c r="A193" s="8">
        <v>190</v>
      </c>
      <c r="B193" s="6">
        <v>2542552.6588899558</v>
      </c>
    </row>
    <row r="194" spans="1:2" x14ac:dyDescent="0.35">
      <c r="A194" s="8">
        <v>191</v>
      </c>
      <c r="B194" s="6">
        <v>1466706.5826569081</v>
      </c>
    </row>
    <row r="195" spans="1:2" x14ac:dyDescent="0.35">
      <c r="A195" s="8">
        <v>192</v>
      </c>
      <c r="B195" s="6">
        <v>1478856.2687408607</v>
      </c>
    </row>
    <row r="196" spans="1:2" x14ac:dyDescent="0.35">
      <c r="A196" s="8">
        <v>193</v>
      </c>
      <c r="B196" s="6">
        <v>1516527.6594939667</v>
      </c>
    </row>
    <row r="197" spans="1:2" x14ac:dyDescent="0.35">
      <c r="A197" s="8">
        <v>194</v>
      </c>
      <c r="B197" s="6">
        <v>2657043.8427557438</v>
      </c>
    </row>
    <row r="198" spans="1:2" x14ac:dyDescent="0.35">
      <c r="A198" s="8">
        <v>195</v>
      </c>
      <c r="B198" s="6">
        <v>1298022.2183062348</v>
      </c>
    </row>
    <row r="199" spans="1:2" x14ac:dyDescent="0.35">
      <c r="A199" s="8">
        <v>196</v>
      </c>
      <c r="B199" s="6">
        <v>945300.85893303819</v>
      </c>
    </row>
    <row r="200" spans="1:2" x14ac:dyDescent="0.35">
      <c r="A200" s="8">
        <v>197</v>
      </c>
      <c r="B200" s="6">
        <v>2107093.5857087458</v>
      </c>
    </row>
    <row r="201" spans="1:2" x14ac:dyDescent="0.35">
      <c r="A201" s="8">
        <v>198</v>
      </c>
      <c r="B201" s="6">
        <v>1203178.3763537717</v>
      </c>
    </row>
    <row r="202" spans="1:2" x14ac:dyDescent="0.35">
      <c r="A202" s="8">
        <v>199</v>
      </c>
      <c r="B202" s="6">
        <v>2811025.8763763718</v>
      </c>
    </row>
    <row r="203" spans="1:2" x14ac:dyDescent="0.35">
      <c r="A203" s="8">
        <v>200</v>
      </c>
      <c r="B203" s="6">
        <v>1418833.9705696446</v>
      </c>
    </row>
    <row r="204" spans="1:2" x14ac:dyDescent="0.35">
      <c r="A204" s="8">
        <v>201</v>
      </c>
      <c r="B204" s="6">
        <v>1766154.9913908485</v>
      </c>
    </row>
    <row r="205" spans="1:2" x14ac:dyDescent="0.35">
      <c r="A205" s="8">
        <v>202</v>
      </c>
      <c r="B205" s="6">
        <v>1444044.9726772076</v>
      </c>
    </row>
    <row r="206" spans="1:2" x14ac:dyDescent="0.35">
      <c r="A206" s="8">
        <v>203</v>
      </c>
      <c r="B206" s="6">
        <v>1346779.4609938774</v>
      </c>
    </row>
    <row r="207" spans="1:2" x14ac:dyDescent="0.35">
      <c r="A207" s="8">
        <v>204</v>
      </c>
      <c r="B207" s="6">
        <v>1998411.4166659173</v>
      </c>
    </row>
    <row r="208" spans="1:2" x14ac:dyDescent="0.35">
      <c r="A208" s="8">
        <v>205</v>
      </c>
      <c r="B208" s="6">
        <v>1710937.4462656705</v>
      </c>
    </row>
    <row r="209" spans="1:2" x14ac:dyDescent="0.35">
      <c r="A209" s="8">
        <v>206</v>
      </c>
      <c r="B209" s="6">
        <v>1518876.3251812011</v>
      </c>
    </row>
    <row r="210" spans="1:2" x14ac:dyDescent="0.35">
      <c r="A210" s="8">
        <v>207</v>
      </c>
      <c r="B210" s="6">
        <v>1483077.8537578215</v>
      </c>
    </row>
    <row r="211" spans="1:2" x14ac:dyDescent="0.35">
      <c r="A211" s="8">
        <v>208</v>
      </c>
      <c r="B211" s="6">
        <v>2892862.4492689637</v>
      </c>
    </row>
    <row r="212" spans="1:2" x14ac:dyDescent="0.35">
      <c r="A212" s="8">
        <v>209</v>
      </c>
      <c r="B212" s="6">
        <v>1044438.1967992976</v>
      </c>
    </row>
    <row r="213" spans="1:2" x14ac:dyDescent="0.35">
      <c r="A213" s="8">
        <v>210</v>
      </c>
      <c r="B213" s="6">
        <v>3020426.131380864</v>
      </c>
    </row>
    <row r="214" spans="1:2" x14ac:dyDescent="0.35">
      <c r="A214" s="8">
        <v>211</v>
      </c>
      <c r="B214" s="6">
        <v>1244087.5955151943</v>
      </c>
    </row>
    <row r="215" spans="1:2" x14ac:dyDescent="0.35">
      <c r="A215" s="8">
        <v>212</v>
      </c>
      <c r="B215" s="6">
        <v>937209.7434010955</v>
      </c>
    </row>
    <row r="216" spans="1:2" x14ac:dyDescent="0.35">
      <c r="A216" s="8">
        <v>213</v>
      </c>
      <c r="B216" s="6">
        <v>2225662.6334512588</v>
      </c>
    </row>
    <row r="217" spans="1:2" x14ac:dyDescent="0.35">
      <c r="A217" s="8">
        <v>214</v>
      </c>
      <c r="B217" s="6">
        <v>2039076.8949482692</v>
      </c>
    </row>
    <row r="218" spans="1:2" x14ac:dyDescent="0.35">
      <c r="A218" s="8">
        <v>215</v>
      </c>
      <c r="B218" s="6">
        <v>4307437.8584294254</v>
      </c>
    </row>
    <row r="219" spans="1:2" x14ac:dyDescent="0.35">
      <c r="A219" s="8">
        <v>216</v>
      </c>
      <c r="B219" s="6">
        <v>1579373.6386514469</v>
      </c>
    </row>
    <row r="220" spans="1:2" x14ac:dyDescent="0.35">
      <c r="A220" s="8">
        <v>217</v>
      </c>
      <c r="B220" s="6">
        <v>1372000.857925364</v>
      </c>
    </row>
    <row r="221" spans="1:2" x14ac:dyDescent="0.35">
      <c r="A221" s="8">
        <v>218</v>
      </c>
      <c r="B221" s="6">
        <v>1980061.4185829277</v>
      </c>
    </row>
    <row r="222" spans="1:2" x14ac:dyDescent="0.35">
      <c r="A222" s="8">
        <v>219</v>
      </c>
      <c r="B222" s="6">
        <v>1176374.7348171645</v>
      </c>
    </row>
    <row r="223" spans="1:2" x14ac:dyDescent="0.35">
      <c r="A223" s="8">
        <v>220</v>
      </c>
      <c r="B223" s="6">
        <v>1839194.9540292821</v>
      </c>
    </row>
    <row r="224" spans="1:2" x14ac:dyDescent="0.35">
      <c r="A224" s="8">
        <v>221</v>
      </c>
      <c r="B224" s="6">
        <v>1783203.6249378021</v>
      </c>
    </row>
    <row r="225" spans="1:2" x14ac:dyDescent="0.35">
      <c r="A225" s="8">
        <v>222</v>
      </c>
      <c r="B225" s="6">
        <v>2166605.9382698312</v>
      </c>
    </row>
    <row r="226" spans="1:2" x14ac:dyDescent="0.35">
      <c r="A226" s="8">
        <v>223</v>
      </c>
      <c r="B226" s="6">
        <v>1579838.7009353351</v>
      </c>
    </row>
    <row r="227" spans="1:2" x14ac:dyDescent="0.35">
      <c r="A227" s="8">
        <v>224</v>
      </c>
      <c r="B227" s="6">
        <v>1145380.7773798541</v>
      </c>
    </row>
    <row r="228" spans="1:2" x14ac:dyDescent="0.35">
      <c r="A228" s="8">
        <v>225</v>
      </c>
      <c r="B228" s="6">
        <v>1830792.6306584065</v>
      </c>
    </row>
    <row r="229" spans="1:2" x14ac:dyDescent="0.35">
      <c r="A229" s="8">
        <v>226</v>
      </c>
      <c r="B229" s="6">
        <v>1633429.5689729329</v>
      </c>
    </row>
    <row r="230" spans="1:2" x14ac:dyDescent="0.35">
      <c r="A230" s="8">
        <v>227</v>
      </c>
      <c r="B230" s="6">
        <v>1500381.844814349</v>
      </c>
    </row>
    <row r="231" spans="1:2" x14ac:dyDescent="0.35">
      <c r="A231" s="8">
        <v>228</v>
      </c>
      <c r="B231" s="6">
        <v>1797434.9362081178</v>
      </c>
    </row>
    <row r="232" spans="1:2" x14ac:dyDescent="0.35">
      <c r="A232" s="8">
        <v>229</v>
      </c>
      <c r="B232" s="6">
        <v>2271769.7357576992</v>
      </c>
    </row>
    <row r="233" spans="1:2" x14ac:dyDescent="0.35">
      <c r="A233" s="8">
        <v>230</v>
      </c>
      <c r="B233" s="6">
        <v>955328.4976605596</v>
      </c>
    </row>
    <row r="234" spans="1:2" x14ac:dyDescent="0.35">
      <c r="A234" s="8">
        <v>231</v>
      </c>
      <c r="B234" s="6">
        <v>862904.6455703309</v>
      </c>
    </row>
    <row r="235" spans="1:2" x14ac:dyDescent="0.35">
      <c r="A235" s="8">
        <v>232</v>
      </c>
      <c r="B235" s="6">
        <v>1364211.1701143873</v>
      </c>
    </row>
    <row r="236" spans="1:2" x14ac:dyDescent="0.35">
      <c r="A236" s="8">
        <v>233</v>
      </c>
      <c r="B236" s="6">
        <v>1869031.1878401535</v>
      </c>
    </row>
    <row r="237" spans="1:2" x14ac:dyDescent="0.35">
      <c r="A237" s="8">
        <v>234</v>
      </c>
      <c r="B237" s="6">
        <v>2342561.6113012685</v>
      </c>
    </row>
    <row r="238" spans="1:2" x14ac:dyDescent="0.35">
      <c r="A238" s="8">
        <v>235</v>
      </c>
      <c r="B238" s="6">
        <v>1752332.2608921197</v>
      </c>
    </row>
    <row r="239" spans="1:2" x14ac:dyDescent="0.35">
      <c r="A239" s="8">
        <v>236</v>
      </c>
      <c r="B239" s="6">
        <v>2368522.3029464437</v>
      </c>
    </row>
    <row r="240" spans="1:2" x14ac:dyDescent="0.35">
      <c r="A240" s="8">
        <v>237</v>
      </c>
      <c r="B240" s="6">
        <v>2634292.3800979657</v>
      </c>
    </row>
    <row r="241" spans="1:2" x14ac:dyDescent="0.35">
      <c r="A241" s="8">
        <v>238</v>
      </c>
      <c r="B241" s="6">
        <v>1514164.2680516755</v>
      </c>
    </row>
    <row r="242" spans="1:2" x14ac:dyDescent="0.35">
      <c r="A242" s="8">
        <v>239</v>
      </c>
      <c r="B242" s="6">
        <v>1893954.7838458829</v>
      </c>
    </row>
    <row r="243" spans="1:2" x14ac:dyDescent="0.35">
      <c r="A243" s="8">
        <v>240</v>
      </c>
      <c r="B243" s="6">
        <v>2103233.8299589353</v>
      </c>
    </row>
    <row r="244" spans="1:2" x14ac:dyDescent="0.35">
      <c r="A244" s="8">
        <v>241</v>
      </c>
      <c r="B244" s="6">
        <v>2024392.4014862883</v>
      </c>
    </row>
    <row r="245" spans="1:2" x14ac:dyDescent="0.35">
      <c r="A245" s="8">
        <v>242</v>
      </c>
      <c r="B245" s="6">
        <v>1513932.7123515892</v>
      </c>
    </row>
    <row r="246" spans="1:2" x14ac:dyDescent="0.35">
      <c r="A246" s="8">
        <v>243</v>
      </c>
      <c r="B246" s="6">
        <v>1297149.5226487992</v>
      </c>
    </row>
    <row r="247" spans="1:2" x14ac:dyDescent="0.35">
      <c r="A247" s="8">
        <v>244</v>
      </c>
      <c r="B247" s="6">
        <v>1766800.3649635315</v>
      </c>
    </row>
    <row r="248" spans="1:2" x14ac:dyDescent="0.35">
      <c r="A248" s="8">
        <v>245</v>
      </c>
      <c r="B248" s="6">
        <v>2602817.4913554699</v>
      </c>
    </row>
    <row r="249" spans="1:2" x14ac:dyDescent="0.35">
      <c r="A249" s="8">
        <v>246</v>
      </c>
      <c r="B249" s="6">
        <v>2057943.4950082458</v>
      </c>
    </row>
    <row r="250" spans="1:2" x14ac:dyDescent="0.35">
      <c r="A250" s="8">
        <v>247</v>
      </c>
      <c r="B250" s="6">
        <v>1417249.5506291245</v>
      </c>
    </row>
    <row r="251" spans="1:2" x14ac:dyDescent="0.35">
      <c r="A251" s="8">
        <v>248</v>
      </c>
      <c r="B251" s="6">
        <v>2143469.2670849776</v>
      </c>
    </row>
    <row r="252" spans="1:2" x14ac:dyDescent="0.35">
      <c r="A252" s="8">
        <v>249</v>
      </c>
      <c r="B252" s="6">
        <v>1606427.9904438527</v>
      </c>
    </row>
    <row r="253" spans="1:2" x14ac:dyDescent="0.35">
      <c r="A253" s="8">
        <v>250</v>
      </c>
      <c r="B253" s="6">
        <v>2211419.6186670912</v>
      </c>
    </row>
    <row r="254" spans="1:2" x14ac:dyDescent="0.35">
      <c r="A254" s="8">
        <v>251</v>
      </c>
      <c r="B254" s="6">
        <v>1051913.9284790778</v>
      </c>
    </row>
    <row r="255" spans="1:2" x14ac:dyDescent="0.35">
      <c r="A255" s="8">
        <v>252</v>
      </c>
      <c r="B255" s="6">
        <v>2133348.3372495375</v>
      </c>
    </row>
    <row r="256" spans="1:2" x14ac:dyDescent="0.35">
      <c r="A256" s="8">
        <v>253</v>
      </c>
      <c r="B256" s="6">
        <v>1505769.5283902599</v>
      </c>
    </row>
    <row r="257" spans="1:2" x14ac:dyDescent="0.35">
      <c r="A257" s="8">
        <v>254</v>
      </c>
      <c r="B257" s="6">
        <v>2003074.4590071898</v>
      </c>
    </row>
    <row r="258" spans="1:2" x14ac:dyDescent="0.35">
      <c r="A258" s="8">
        <v>255</v>
      </c>
      <c r="B258" s="6">
        <v>1767602.3249079105</v>
      </c>
    </row>
    <row r="259" spans="1:2" x14ac:dyDescent="0.35">
      <c r="A259" s="8">
        <v>256</v>
      </c>
      <c r="B259" s="6">
        <v>2664837.0098790475</v>
      </c>
    </row>
    <row r="260" spans="1:2" x14ac:dyDescent="0.35">
      <c r="A260" s="8">
        <v>257</v>
      </c>
      <c r="B260" s="6">
        <v>1615132.6695491823</v>
      </c>
    </row>
    <row r="261" spans="1:2" x14ac:dyDescent="0.35">
      <c r="A261" s="8">
        <v>258</v>
      </c>
      <c r="B261" s="6">
        <v>2045264.4967716869</v>
      </c>
    </row>
    <row r="262" spans="1:2" x14ac:dyDescent="0.35">
      <c r="A262" s="8">
        <v>259</v>
      </c>
      <c r="B262" s="6">
        <v>2085107.3606545604</v>
      </c>
    </row>
    <row r="263" spans="1:2" x14ac:dyDescent="0.35">
      <c r="A263" s="8">
        <v>260</v>
      </c>
      <c r="B263" s="6">
        <v>1624743.9124552205</v>
      </c>
    </row>
    <row r="264" spans="1:2" x14ac:dyDescent="0.35">
      <c r="A264" s="8">
        <v>261</v>
      </c>
      <c r="B264" s="6">
        <v>1634956.5919344621</v>
      </c>
    </row>
    <row r="265" spans="1:2" x14ac:dyDescent="0.35">
      <c r="A265" s="8">
        <v>262</v>
      </c>
      <c r="B265" s="6">
        <v>1911285.765634069</v>
      </c>
    </row>
    <row r="266" spans="1:2" x14ac:dyDescent="0.35">
      <c r="A266" s="8">
        <v>263</v>
      </c>
      <c r="B266" s="6">
        <v>2145379.3715561433</v>
      </c>
    </row>
    <row r="267" spans="1:2" x14ac:dyDescent="0.35">
      <c r="A267" s="8">
        <v>264</v>
      </c>
      <c r="B267" s="6">
        <v>1790729.9104094999</v>
      </c>
    </row>
    <row r="268" spans="1:2" x14ac:dyDescent="0.35">
      <c r="A268" s="8">
        <v>265</v>
      </c>
      <c r="B268" s="6">
        <v>1931024.0354561717</v>
      </c>
    </row>
    <row r="269" spans="1:2" x14ac:dyDescent="0.35">
      <c r="A269" s="8">
        <v>266</v>
      </c>
      <c r="B269" s="6">
        <v>1872401.7017081457</v>
      </c>
    </row>
    <row r="270" spans="1:2" x14ac:dyDescent="0.35">
      <c r="A270" s="8">
        <v>267</v>
      </c>
      <c r="B270" s="6">
        <v>1172549.4332644776</v>
      </c>
    </row>
    <row r="271" spans="1:2" x14ac:dyDescent="0.35">
      <c r="A271" s="8">
        <v>268</v>
      </c>
      <c r="B271" s="6">
        <v>1946249.5902736844</v>
      </c>
    </row>
    <row r="272" spans="1:2" x14ac:dyDescent="0.35">
      <c r="A272" s="8">
        <v>269</v>
      </c>
      <c r="B272" s="6">
        <v>1216106.8251476518</v>
      </c>
    </row>
    <row r="273" spans="1:2" x14ac:dyDescent="0.35">
      <c r="A273" s="8">
        <v>270</v>
      </c>
      <c r="B273" s="6">
        <v>1066972.4029400344</v>
      </c>
    </row>
    <row r="274" spans="1:2" x14ac:dyDescent="0.35">
      <c r="A274" s="8">
        <v>271</v>
      </c>
      <c r="B274" s="6">
        <v>1768276.9334138879</v>
      </c>
    </row>
    <row r="275" spans="1:2" x14ac:dyDescent="0.35">
      <c r="A275" s="8">
        <v>272</v>
      </c>
      <c r="B275" s="6">
        <v>2568445.6641154913</v>
      </c>
    </row>
    <row r="276" spans="1:2" x14ac:dyDescent="0.35">
      <c r="A276" s="8">
        <v>273</v>
      </c>
      <c r="B276" s="6">
        <v>893407.87945839833</v>
      </c>
    </row>
    <row r="277" spans="1:2" x14ac:dyDescent="0.35">
      <c r="A277" s="8">
        <v>274</v>
      </c>
      <c r="B277" s="6">
        <v>1547981.3010524288</v>
      </c>
    </row>
    <row r="278" spans="1:2" x14ac:dyDescent="0.35">
      <c r="A278" s="8">
        <v>275</v>
      </c>
      <c r="B278" s="6">
        <v>1216010.3689715997</v>
      </c>
    </row>
    <row r="279" spans="1:2" x14ac:dyDescent="0.35">
      <c r="A279" s="8">
        <v>276</v>
      </c>
      <c r="B279" s="6">
        <v>1225014.4362428489</v>
      </c>
    </row>
    <row r="280" spans="1:2" x14ac:dyDescent="0.35">
      <c r="A280" s="8">
        <v>277</v>
      </c>
      <c r="B280" s="6">
        <v>1267257.1175727821</v>
      </c>
    </row>
    <row r="281" spans="1:2" x14ac:dyDescent="0.35">
      <c r="A281" s="8">
        <v>278</v>
      </c>
      <c r="B281" s="6">
        <v>1404689.4843037454</v>
      </c>
    </row>
    <row r="282" spans="1:2" x14ac:dyDescent="0.35">
      <c r="A282" s="8">
        <v>279</v>
      </c>
      <c r="B282" s="6">
        <v>1322943.5990074831</v>
      </c>
    </row>
    <row r="283" spans="1:2" x14ac:dyDescent="0.35">
      <c r="A283" s="8">
        <v>280</v>
      </c>
      <c r="B283" s="6">
        <v>2260103.1953678355</v>
      </c>
    </row>
    <row r="284" spans="1:2" x14ac:dyDescent="0.35">
      <c r="A284" s="8">
        <v>281</v>
      </c>
      <c r="B284" s="6">
        <v>3333154.5984599865</v>
      </c>
    </row>
    <row r="285" spans="1:2" x14ac:dyDescent="0.35">
      <c r="A285" s="8">
        <v>282</v>
      </c>
      <c r="B285" s="6">
        <v>1353905.2165451951</v>
      </c>
    </row>
    <row r="286" spans="1:2" x14ac:dyDescent="0.35">
      <c r="A286" s="8">
        <v>283</v>
      </c>
      <c r="B286" s="6">
        <v>1137046.4694330043</v>
      </c>
    </row>
    <row r="287" spans="1:2" x14ac:dyDescent="0.35">
      <c r="A287" s="8">
        <v>284</v>
      </c>
      <c r="B287" s="6">
        <v>1104844.5455794502</v>
      </c>
    </row>
    <row r="288" spans="1:2" x14ac:dyDescent="0.35">
      <c r="A288" s="8">
        <v>285</v>
      </c>
      <c r="B288" s="6">
        <v>1460368.7611093889</v>
      </c>
    </row>
    <row r="289" spans="1:2" x14ac:dyDescent="0.35">
      <c r="A289" s="8">
        <v>286</v>
      </c>
      <c r="B289" s="6">
        <v>1226583.9123251736</v>
      </c>
    </row>
    <row r="290" spans="1:2" x14ac:dyDescent="0.35">
      <c r="A290" s="8">
        <v>287</v>
      </c>
      <c r="B290" s="6">
        <v>1621062.8371166482</v>
      </c>
    </row>
    <row r="291" spans="1:2" x14ac:dyDescent="0.35">
      <c r="A291" s="8">
        <v>288</v>
      </c>
      <c r="B291" s="6">
        <v>1265819.1660544174</v>
      </c>
    </row>
    <row r="292" spans="1:2" x14ac:dyDescent="0.35">
      <c r="A292" s="8">
        <v>289</v>
      </c>
      <c r="B292" s="6">
        <v>2620170.5330583146</v>
      </c>
    </row>
    <row r="293" spans="1:2" x14ac:dyDescent="0.35">
      <c r="A293" s="8">
        <v>290</v>
      </c>
      <c r="B293" s="6">
        <v>1352627.685549262</v>
      </c>
    </row>
    <row r="294" spans="1:2" x14ac:dyDescent="0.35">
      <c r="A294" s="8">
        <v>291</v>
      </c>
      <c r="B294" s="6">
        <v>2204879.735736602</v>
      </c>
    </row>
    <row r="295" spans="1:2" x14ac:dyDescent="0.35">
      <c r="A295" s="8">
        <v>292</v>
      </c>
      <c r="B295" s="6">
        <v>1387201.2354286583</v>
      </c>
    </row>
    <row r="296" spans="1:2" x14ac:dyDescent="0.35">
      <c r="A296" s="8">
        <v>293</v>
      </c>
      <c r="B296" s="6">
        <v>1658058.4196979962</v>
      </c>
    </row>
    <row r="297" spans="1:2" x14ac:dyDescent="0.35">
      <c r="A297" s="8">
        <v>294</v>
      </c>
      <c r="B297" s="6">
        <v>3163177.6959099174</v>
      </c>
    </row>
    <row r="298" spans="1:2" x14ac:dyDescent="0.35">
      <c r="A298" s="8">
        <v>295</v>
      </c>
      <c r="B298" s="6">
        <v>1657685.7294684192</v>
      </c>
    </row>
    <row r="299" spans="1:2" x14ac:dyDescent="0.35">
      <c r="A299" s="8">
        <v>296</v>
      </c>
      <c r="B299" s="6">
        <v>1801219.2808483015</v>
      </c>
    </row>
    <row r="300" spans="1:2" x14ac:dyDescent="0.35">
      <c r="A300" s="8">
        <v>297</v>
      </c>
      <c r="B300" s="6">
        <v>1244933.4126631643</v>
      </c>
    </row>
    <row r="301" spans="1:2" x14ac:dyDescent="0.35">
      <c r="A301" s="8">
        <v>298</v>
      </c>
      <c r="B301" s="6">
        <v>1404944.0599321502</v>
      </c>
    </row>
    <row r="302" spans="1:2" x14ac:dyDescent="0.35">
      <c r="A302" s="8">
        <v>299</v>
      </c>
      <c r="B302" s="6">
        <v>2320065.8847256759</v>
      </c>
    </row>
    <row r="303" spans="1:2" x14ac:dyDescent="0.35">
      <c r="A303" s="8">
        <v>300</v>
      </c>
      <c r="B303" s="6">
        <v>1759897.7430727826</v>
      </c>
    </row>
    <row r="304" spans="1:2" x14ac:dyDescent="0.35">
      <c r="A304" s="8">
        <v>301</v>
      </c>
      <c r="B304" s="6">
        <v>1379337.4321570713</v>
      </c>
    </row>
    <row r="305" spans="1:2" x14ac:dyDescent="0.35">
      <c r="A305" s="8">
        <v>302</v>
      </c>
      <c r="B305" s="6">
        <v>2366191.7927920138</v>
      </c>
    </row>
    <row r="306" spans="1:2" x14ac:dyDescent="0.35">
      <c r="A306" s="8">
        <v>303</v>
      </c>
      <c r="B306" s="6">
        <v>1738628.1046699402</v>
      </c>
    </row>
    <row r="307" spans="1:2" x14ac:dyDescent="0.35">
      <c r="A307" s="8">
        <v>304</v>
      </c>
      <c r="B307" s="6">
        <v>1859616.3334206701</v>
      </c>
    </row>
    <row r="308" spans="1:2" x14ac:dyDescent="0.35">
      <c r="A308" s="8">
        <v>305</v>
      </c>
      <c r="B308" s="6">
        <v>1564267.1131700245</v>
      </c>
    </row>
    <row r="309" spans="1:2" x14ac:dyDescent="0.35">
      <c r="A309" s="8">
        <v>306</v>
      </c>
      <c r="B309" s="6">
        <v>3100698.9979754016</v>
      </c>
    </row>
    <row r="310" spans="1:2" x14ac:dyDescent="0.35">
      <c r="A310" s="8">
        <v>307</v>
      </c>
      <c r="B310" s="6">
        <v>2254947.3745646942</v>
      </c>
    </row>
    <row r="311" spans="1:2" x14ac:dyDescent="0.35">
      <c r="A311" s="8">
        <v>308</v>
      </c>
      <c r="B311" s="6">
        <v>1962006.1942555259</v>
      </c>
    </row>
    <row r="312" spans="1:2" x14ac:dyDescent="0.35">
      <c r="A312" s="8">
        <v>309</v>
      </c>
      <c r="B312" s="6">
        <v>2349092.2651402685</v>
      </c>
    </row>
    <row r="313" spans="1:2" x14ac:dyDescent="0.35">
      <c r="A313" s="8">
        <v>310</v>
      </c>
      <c r="B313" s="6">
        <v>3532819.7962508164</v>
      </c>
    </row>
    <row r="314" spans="1:2" x14ac:dyDescent="0.35">
      <c r="A314" s="8">
        <v>311</v>
      </c>
      <c r="B314" s="6">
        <v>1888549.5317262157</v>
      </c>
    </row>
    <row r="315" spans="1:2" x14ac:dyDescent="0.35">
      <c r="A315" s="8">
        <v>312</v>
      </c>
      <c r="B315" s="6">
        <v>1005181.7616881276</v>
      </c>
    </row>
    <row r="316" spans="1:2" x14ac:dyDescent="0.35">
      <c r="A316" s="8">
        <v>313</v>
      </c>
      <c r="B316" s="6">
        <v>1133060.7233449058</v>
      </c>
    </row>
    <row r="317" spans="1:2" x14ac:dyDescent="0.35">
      <c r="A317" s="8">
        <v>314</v>
      </c>
      <c r="B317" s="6">
        <v>2056774.5031769157</v>
      </c>
    </row>
    <row r="318" spans="1:2" x14ac:dyDescent="0.35">
      <c r="A318" s="8">
        <v>315</v>
      </c>
      <c r="B318" s="6">
        <v>1737795.4826573725</v>
      </c>
    </row>
    <row r="319" spans="1:2" x14ac:dyDescent="0.35">
      <c r="A319" s="8">
        <v>316</v>
      </c>
      <c r="B319" s="6">
        <v>1645518.8719782927</v>
      </c>
    </row>
    <row r="320" spans="1:2" x14ac:dyDescent="0.35">
      <c r="A320" s="8">
        <v>317</v>
      </c>
      <c r="B320" s="6">
        <v>1619706.3799892557</v>
      </c>
    </row>
    <row r="321" spans="1:2" x14ac:dyDescent="0.35">
      <c r="A321" s="8">
        <v>318</v>
      </c>
      <c r="B321" s="6">
        <v>2196337.5717047788</v>
      </c>
    </row>
    <row r="322" spans="1:2" x14ac:dyDescent="0.35">
      <c r="A322" s="8">
        <v>319</v>
      </c>
      <c r="B322" s="6">
        <v>1994715.8366103221</v>
      </c>
    </row>
    <row r="323" spans="1:2" x14ac:dyDescent="0.35">
      <c r="A323" s="8">
        <v>320</v>
      </c>
      <c r="B323" s="6">
        <v>1763703.1060092479</v>
      </c>
    </row>
    <row r="324" spans="1:2" x14ac:dyDescent="0.35">
      <c r="A324" s="8">
        <v>321</v>
      </c>
      <c r="B324" s="6">
        <v>1236366.3680183748</v>
      </c>
    </row>
    <row r="325" spans="1:2" x14ac:dyDescent="0.35">
      <c r="A325" s="8">
        <v>322</v>
      </c>
      <c r="B325" s="6">
        <v>1512244.9129153355</v>
      </c>
    </row>
    <row r="326" spans="1:2" x14ac:dyDescent="0.35">
      <c r="A326" s="8">
        <v>323</v>
      </c>
      <c r="B326" s="6">
        <v>1985860.3381040632</v>
      </c>
    </row>
    <row r="327" spans="1:2" x14ac:dyDescent="0.35">
      <c r="A327" s="8">
        <v>324</v>
      </c>
      <c r="B327" s="6">
        <v>2769126.8330058772</v>
      </c>
    </row>
    <row r="328" spans="1:2" x14ac:dyDescent="0.35">
      <c r="A328" s="8">
        <v>325</v>
      </c>
      <c r="B328" s="6">
        <v>1181012.974777353</v>
      </c>
    </row>
    <row r="329" spans="1:2" x14ac:dyDescent="0.35">
      <c r="A329" s="8">
        <v>326</v>
      </c>
      <c r="B329" s="6">
        <v>2185154.3857115307</v>
      </c>
    </row>
    <row r="330" spans="1:2" x14ac:dyDescent="0.35">
      <c r="A330" s="8">
        <v>327</v>
      </c>
      <c r="B330" s="6">
        <v>860054.90023986471</v>
      </c>
    </row>
    <row r="331" spans="1:2" x14ac:dyDescent="0.35">
      <c r="A331" s="8">
        <v>328</v>
      </c>
      <c r="B331" s="6">
        <v>1271684.1676380232</v>
      </c>
    </row>
    <row r="332" spans="1:2" x14ac:dyDescent="0.35">
      <c r="A332" s="8">
        <v>329</v>
      </c>
      <c r="B332" s="6">
        <v>1816458.7523508293</v>
      </c>
    </row>
    <row r="333" spans="1:2" x14ac:dyDescent="0.35">
      <c r="A333" s="8">
        <v>330</v>
      </c>
      <c r="B333" s="6">
        <v>1366926.0566269495</v>
      </c>
    </row>
    <row r="334" spans="1:2" x14ac:dyDescent="0.35">
      <c r="A334" s="8">
        <v>331</v>
      </c>
      <c r="B334" s="6">
        <v>1507719.5595007893</v>
      </c>
    </row>
    <row r="335" spans="1:2" x14ac:dyDescent="0.35">
      <c r="A335" s="8">
        <v>332</v>
      </c>
      <c r="B335" s="6">
        <v>2188059.6581443776</v>
      </c>
    </row>
    <row r="336" spans="1:2" x14ac:dyDescent="0.35">
      <c r="A336" s="8">
        <v>333</v>
      </c>
      <c r="B336" s="6">
        <v>1344249.7701530117</v>
      </c>
    </row>
    <row r="337" spans="1:2" x14ac:dyDescent="0.35">
      <c r="A337" s="8">
        <v>334</v>
      </c>
      <c r="B337" s="6">
        <v>2113670.4162321379</v>
      </c>
    </row>
    <row r="338" spans="1:2" x14ac:dyDescent="0.35">
      <c r="A338" s="8">
        <v>335</v>
      </c>
      <c r="B338" s="6">
        <v>1370393.045943839</v>
      </c>
    </row>
    <row r="339" spans="1:2" x14ac:dyDescent="0.35">
      <c r="A339" s="8">
        <v>336</v>
      </c>
      <c r="B339" s="6">
        <v>1903600.4015467719</v>
      </c>
    </row>
    <row r="340" spans="1:2" x14ac:dyDescent="0.35">
      <c r="A340" s="8">
        <v>337</v>
      </c>
      <c r="B340" s="6">
        <v>2723857.8034783611</v>
      </c>
    </row>
    <row r="341" spans="1:2" x14ac:dyDescent="0.35">
      <c r="A341" s="8">
        <v>338</v>
      </c>
      <c r="B341" s="6">
        <v>1818858.7133377814</v>
      </c>
    </row>
    <row r="342" spans="1:2" x14ac:dyDescent="0.35">
      <c r="A342" s="8">
        <v>339</v>
      </c>
      <c r="B342" s="6">
        <v>2956691.0516930134</v>
      </c>
    </row>
    <row r="343" spans="1:2" x14ac:dyDescent="0.35">
      <c r="A343" s="8">
        <v>340</v>
      </c>
      <c r="B343" s="6">
        <v>1880931.9736129178</v>
      </c>
    </row>
    <row r="344" spans="1:2" x14ac:dyDescent="0.35">
      <c r="A344" s="8">
        <v>341</v>
      </c>
      <c r="B344" s="6">
        <v>1858671.6151544265</v>
      </c>
    </row>
    <row r="345" spans="1:2" x14ac:dyDescent="0.35">
      <c r="A345" s="8">
        <v>342</v>
      </c>
      <c r="B345" s="6">
        <v>2245728.5158671672</v>
      </c>
    </row>
    <row r="346" spans="1:2" x14ac:dyDescent="0.35">
      <c r="A346" s="8">
        <v>343</v>
      </c>
      <c r="B346" s="6">
        <v>953040.36134525109</v>
      </c>
    </row>
    <row r="347" spans="1:2" x14ac:dyDescent="0.35">
      <c r="A347" s="8">
        <v>344</v>
      </c>
      <c r="B347" s="6">
        <v>953234.91619144578</v>
      </c>
    </row>
    <row r="348" spans="1:2" x14ac:dyDescent="0.35">
      <c r="A348" s="8">
        <v>345</v>
      </c>
      <c r="B348" s="6">
        <v>1962483.4468398755</v>
      </c>
    </row>
    <row r="349" spans="1:2" x14ac:dyDescent="0.35">
      <c r="A349" s="8">
        <v>346</v>
      </c>
      <c r="B349" s="6">
        <v>1750985.2647134755</v>
      </c>
    </row>
    <row r="350" spans="1:2" x14ac:dyDescent="0.35">
      <c r="A350" s="8">
        <v>347</v>
      </c>
      <c r="B350" s="6">
        <v>1818123.9461393773</v>
      </c>
    </row>
    <row r="351" spans="1:2" x14ac:dyDescent="0.35">
      <c r="A351" s="8">
        <v>348</v>
      </c>
      <c r="B351" s="6">
        <v>2042325.9185776447</v>
      </c>
    </row>
    <row r="352" spans="1:2" x14ac:dyDescent="0.35">
      <c r="A352" s="8">
        <v>349</v>
      </c>
      <c r="B352" s="6">
        <v>1227705.009627857</v>
      </c>
    </row>
    <row r="353" spans="1:2" x14ac:dyDescent="0.35">
      <c r="A353" s="8">
        <v>350</v>
      </c>
      <c r="B353" s="6">
        <v>2117455.5311615425</v>
      </c>
    </row>
    <row r="354" spans="1:2" x14ac:dyDescent="0.35">
      <c r="A354" s="8">
        <v>351</v>
      </c>
      <c r="B354" s="6">
        <v>1804724.8261017611</v>
      </c>
    </row>
    <row r="355" spans="1:2" x14ac:dyDescent="0.35">
      <c r="A355" s="8">
        <v>352</v>
      </c>
      <c r="B355" s="6">
        <v>4721354.0320257097</v>
      </c>
    </row>
    <row r="356" spans="1:2" x14ac:dyDescent="0.35">
      <c r="A356" s="8">
        <v>353</v>
      </c>
      <c r="B356" s="6">
        <v>1632977.3362295961</v>
      </c>
    </row>
    <row r="357" spans="1:2" x14ac:dyDescent="0.35">
      <c r="A357" s="8">
        <v>354</v>
      </c>
      <c r="B357" s="6">
        <v>902513.92225394479</v>
      </c>
    </row>
    <row r="358" spans="1:2" x14ac:dyDescent="0.35">
      <c r="A358" s="8">
        <v>355</v>
      </c>
      <c r="B358" s="6">
        <v>2601218.6176034845</v>
      </c>
    </row>
    <row r="359" spans="1:2" x14ac:dyDescent="0.35">
      <c r="A359" s="8">
        <v>356</v>
      </c>
      <c r="B359" s="6">
        <v>1653459.0365831961</v>
      </c>
    </row>
    <row r="360" spans="1:2" x14ac:dyDescent="0.35">
      <c r="A360" s="8">
        <v>357</v>
      </c>
      <c r="B360" s="6">
        <v>2578112.7298277682</v>
      </c>
    </row>
    <row r="361" spans="1:2" x14ac:dyDescent="0.35">
      <c r="A361" s="8">
        <v>358</v>
      </c>
      <c r="B361" s="6">
        <v>1636001.3012030593</v>
      </c>
    </row>
    <row r="362" spans="1:2" x14ac:dyDescent="0.35">
      <c r="A362" s="8">
        <v>359</v>
      </c>
      <c r="B362" s="6">
        <v>1678802.4124080408</v>
      </c>
    </row>
    <row r="363" spans="1:2" x14ac:dyDescent="0.35">
      <c r="A363" s="8">
        <v>360</v>
      </c>
      <c r="B363" s="6">
        <v>1733002.8497710105</v>
      </c>
    </row>
    <row r="364" spans="1:2" x14ac:dyDescent="0.35">
      <c r="A364" s="8">
        <v>361</v>
      </c>
      <c r="B364" s="6">
        <v>1494406.4359363641</v>
      </c>
    </row>
    <row r="365" spans="1:2" x14ac:dyDescent="0.35">
      <c r="A365" s="8">
        <v>362</v>
      </c>
      <c r="B365" s="6">
        <v>967474.53363003558</v>
      </c>
    </row>
    <row r="366" spans="1:2" x14ac:dyDescent="0.35">
      <c r="A366" s="8">
        <v>363</v>
      </c>
      <c r="B366" s="6">
        <v>1737993.0512978425</v>
      </c>
    </row>
    <row r="367" spans="1:2" x14ac:dyDescent="0.35">
      <c r="A367" s="8">
        <v>364</v>
      </c>
      <c r="B367" s="6">
        <v>2042701.5712631124</v>
      </c>
    </row>
    <row r="368" spans="1:2" x14ac:dyDescent="0.35">
      <c r="A368" s="8">
        <v>365</v>
      </c>
      <c r="B368" s="6">
        <v>1465037.3471002602</v>
      </c>
    </row>
    <row r="369" spans="1:2" x14ac:dyDescent="0.35">
      <c r="A369" s="8">
        <v>366</v>
      </c>
      <c r="B369" s="6">
        <v>1379593.413793029</v>
      </c>
    </row>
    <row r="370" spans="1:2" x14ac:dyDescent="0.35">
      <c r="A370" s="8">
        <v>367</v>
      </c>
      <c r="B370" s="6">
        <v>1720442.8304354027</v>
      </c>
    </row>
    <row r="371" spans="1:2" x14ac:dyDescent="0.35">
      <c r="A371" s="8">
        <v>368</v>
      </c>
      <c r="B371" s="6">
        <v>763043.98247805948</v>
      </c>
    </row>
    <row r="372" spans="1:2" x14ac:dyDescent="0.35">
      <c r="A372" s="8">
        <v>369</v>
      </c>
      <c r="B372" s="6">
        <v>2397509.0415308001</v>
      </c>
    </row>
    <row r="373" spans="1:2" x14ac:dyDescent="0.35">
      <c r="A373" s="8">
        <v>370</v>
      </c>
      <c r="B373" s="6">
        <v>2091226.7167537534</v>
      </c>
    </row>
    <row r="374" spans="1:2" x14ac:dyDescent="0.35">
      <c r="A374" s="8">
        <v>371</v>
      </c>
      <c r="B374" s="6">
        <v>1996556.2883395795</v>
      </c>
    </row>
    <row r="375" spans="1:2" x14ac:dyDescent="0.35">
      <c r="A375" s="8">
        <v>372</v>
      </c>
      <c r="B375" s="6">
        <v>2343458.760734139</v>
      </c>
    </row>
    <row r="376" spans="1:2" x14ac:dyDescent="0.35">
      <c r="A376" s="8">
        <v>373</v>
      </c>
      <c r="B376" s="6">
        <v>1190235.5111709442</v>
      </c>
    </row>
    <row r="377" spans="1:2" x14ac:dyDescent="0.35">
      <c r="A377" s="8">
        <v>374</v>
      </c>
      <c r="B377" s="6">
        <v>1404073.1571337432</v>
      </c>
    </row>
    <row r="378" spans="1:2" x14ac:dyDescent="0.35">
      <c r="A378" s="8">
        <v>375</v>
      </c>
      <c r="B378" s="6">
        <v>2210903.7155580204</v>
      </c>
    </row>
    <row r="379" spans="1:2" x14ac:dyDescent="0.35">
      <c r="A379" s="8">
        <v>376</v>
      </c>
      <c r="B379" s="6">
        <v>1919513.8817972401</v>
      </c>
    </row>
    <row r="380" spans="1:2" x14ac:dyDescent="0.35">
      <c r="A380" s="8">
        <v>377</v>
      </c>
      <c r="B380" s="6">
        <v>1355989.9979036928</v>
      </c>
    </row>
    <row r="381" spans="1:2" x14ac:dyDescent="0.35">
      <c r="A381" s="8">
        <v>378</v>
      </c>
      <c r="B381" s="6">
        <v>1494182.4034825028</v>
      </c>
    </row>
    <row r="382" spans="1:2" x14ac:dyDescent="0.35">
      <c r="A382" s="8">
        <v>379</v>
      </c>
      <c r="B382" s="6">
        <v>1095898.0068980169</v>
      </c>
    </row>
    <row r="383" spans="1:2" x14ac:dyDescent="0.35">
      <c r="A383" s="8">
        <v>380</v>
      </c>
      <c r="B383" s="6">
        <v>1400963.8128084601</v>
      </c>
    </row>
    <row r="384" spans="1:2" x14ac:dyDescent="0.35">
      <c r="A384" s="8">
        <v>381</v>
      </c>
      <c r="B384" s="6">
        <v>2364574.9850590071</v>
      </c>
    </row>
    <row r="385" spans="1:2" x14ac:dyDescent="0.35">
      <c r="A385" s="8">
        <v>382</v>
      </c>
      <c r="B385" s="6">
        <v>1555817.1348570562</v>
      </c>
    </row>
    <row r="386" spans="1:2" x14ac:dyDescent="0.35">
      <c r="A386" s="8">
        <v>383</v>
      </c>
      <c r="B386" s="6">
        <v>2249629.0592793217</v>
      </c>
    </row>
    <row r="387" spans="1:2" x14ac:dyDescent="0.35">
      <c r="A387" s="8">
        <v>384</v>
      </c>
      <c r="B387" s="6">
        <v>1830949.8076825289</v>
      </c>
    </row>
    <row r="388" spans="1:2" x14ac:dyDescent="0.35">
      <c r="A388" s="8">
        <v>385</v>
      </c>
      <c r="B388" s="6">
        <v>1443767.5953993967</v>
      </c>
    </row>
    <row r="389" spans="1:2" x14ac:dyDescent="0.35">
      <c r="A389" s="8">
        <v>386</v>
      </c>
      <c r="B389" s="6">
        <v>1471336.6858934755</v>
      </c>
    </row>
    <row r="390" spans="1:2" x14ac:dyDescent="0.35">
      <c r="A390" s="8">
        <v>387</v>
      </c>
      <c r="B390" s="6">
        <v>1917258.4257574421</v>
      </c>
    </row>
    <row r="391" spans="1:2" x14ac:dyDescent="0.35">
      <c r="A391" s="8">
        <v>388</v>
      </c>
      <c r="B391" s="6">
        <v>1111630.0243062316</v>
      </c>
    </row>
    <row r="392" spans="1:2" x14ac:dyDescent="0.35">
      <c r="A392" s="8">
        <v>389</v>
      </c>
      <c r="B392" s="6">
        <v>1226649.3560552355</v>
      </c>
    </row>
    <row r="393" spans="1:2" x14ac:dyDescent="0.35">
      <c r="A393" s="8">
        <v>390</v>
      </c>
      <c r="B393" s="6">
        <v>2028591.2803015332</v>
      </c>
    </row>
    <row r="394" spans="1:2" x14ac:dyDescent="0.35">
      <c r="A394" s="8">
        <v>391</v>
      </c>
      <c r="B394" s="6">
        <v>1716426.8066203813</v>
      </c>
    </row>
    <row r="395" spans="1:2" x14ac:dyDescent="0.35">
      <c r="A395" s="8">
        <v>392</v>
      </c>
      <c r="B395" s="6">
        <v>1211983.5592307332</v>
      </c>
    </row>
    <row r="396" spans="1:2" x14ac:dyDescent="0.35">
      <c r="A396" s="8">
        <v>393</v>
      </c>
      <c r="B396" s="6">
        <v>1279244.7299512476</v>
      </c>
    </row>
    <row r="397" spans="1:2" x14ac:dyDescent="0.35">
      <c r="A397" s="8">
        <v>394</v>
      </c>
      <c r="B397" s="6">
        <v>1497204.5568288888</v>
      </c>
    </row>
    <row r="398" spans="1:2" x14ac:dyDescent="0.35">
      <c r="A398" s="8">
        <v>395</v>
      </c>
      <c r="B398" s="6">
        <v>1909241.3514856058</v>
      </c>
    </row>
    <row r="399" spans="1:2" x14ac:dyDescent="0.35">
      <c r="A399" s="8">
        <v>396</v>
      </c>
      <c r="B399" s="6">
        <v>1767159.7681650221</v>
      </c>
    </row>
    <row r="400" spans="1:2" x14ac:dyDescent="0.35">
      <c r="A400" s="8">
        <v>397</v>
      </c>
      <c r="B400" s="6">
        <v>1403558.4299448016</v>
      </c>
    </row>
    <row r="401" spans="1:2" x14ac:dyDescent="0.35">
      <c r="A401" s="8">
        <v>398</v>
      </c>
      <c r="B401" s="6">
        <v>2618370.6523505049</v>
      </c>
    </row>
    <row r="402" spans="1:2" x14ac:dyDescent="0.35">
      <c r="A402" s="8">
        <v>399</v>
      </c>
      <c r="B402" s="6">
        <v>2064137.4085975792</v>
      </c>
    </row>
    <row r="403" spans="1:2" x14ac:dyDescent="0.35">
      <c r="A403" s="8">
        <v>400</v>
      </c>
      <c r="B403" s="6">
        <v>1079257.3880655782</v>
      </c>
    </row>
    <row r="404" spans="1:2" x14ac:dyDescent="0.35">
      <c r="A404" s="8">
        <v>401</v>
      </c>
      <c r="B404" s="6">
        <v>1384198.4358104677</v>
      </c>
    </row>
    <row r="405" spans="1:2" x14ac:dyDescent="0.35">
      <c r="A405" s="8">
        <v>402</v>
      </c>
      <c r="B405" s="6">
        <v>3209823.7972274693</v>
      </c>
    </row>
    <row r="406" spans="1:2" x14ac:dyDescent="0.35">
      <c r="A406" s="8">
        <v>403</v>
      </c>
      <c r="B406" s="6">
        <v>1828719.2835785353</v>
      </c>
    </row>
    <row r="407" spans="1:2" x14ac:dyDescent="0.35">
      <c r="A407" s="8">
        <v>404</v>
      </c>
      <c r="B407" s="6">
        <v>1668173.6486017173</v>
      </c>
    </row>
    <row r="408" spans="1:2" x14ac:dyDescent="0.35">
      <c r="A408" s="8">
        <v>405</v>
      </c>
      <c r="B408" s="6">
        <v>2575520.9821673678</v>
      </c>
    </row>
    <row r="409" spans="1:2" x14ac:dyDescent="0.35">
      <c r="A409" s="8">
        <v>406</v>
      </c>
      <c r="B409" s="6">
        <v>2938264.1579949781</v>
      </c>
    </row>
    <row r="410" spans="1:2" x14ac:dyDescent="0.35">
      <c r="A410" s="8">
        <v>407</v>
      </c>
      <c r="B410" s="6">
        <v>2413713.0257908111</v>
      </c>
    </row>
    <row r="411" spans="1:2" x14ac:dyDescent="0.35">
      <c r="A411" s="8">
        <v>408</v>
      </c>
      <c r="B411" s="6">
        <v>1444644.2828768997</v>
      </c>
    </row>
    <row r="412" spans="1:2" x14ac:dyDescent="0.35">
      <c r="A412" s="8">
        <v>409</v>
      </c>
      <c r="B412" s="6">
        <v>2471254.4900736576</v>
      </c>
    </row>
    <row r="413" spans="1:2" x14ac:dyDescent="0.35">
      <c r="A413" s="8">
        <v>410</v>
      </c>
      <c r="B413" s="6">
        <v>1625606.7738134398</v>
      </c>
    </row>
    <row r="414" spans="1:2" x14ac:dyDescent="0.35">
      <c r="A414" s="8">
        <v>411</v>
      </c>
      <c r="B414" s="6">
        <v>1457973.0652679775</v>
      </c>
    </row>
    <row r="415" spans="1:2" x14ac:dyDescent="0.35">
      <c r="A415" s="8">
        <v>412</v>
      </c>
      <c r="B415" s="6">
        <v>2236862.2100840346</v>
      </c>
    </row>
    <row r="416" spans="1:2" x14ac:dyDescent="0.35">
      <c r="A416" s="8">
        <v>413</v>
      </c>
      <c r="B416" s="6">
        <v>2662572.2979042977</v>
      </c>
    </row>
    <row r="417" spans="1:2" x14ac:dyDescent="0.35">
      <c r="A417" s="8">
        <v>414</v>
      </c>
      <c r="B417" s="6">
        <v>1420908.7794215139</v>
      </c>
    </row>
    <row r="418" spans="1:2" x14ac:dyDescent="0.35">
      <c r="A418" s="8">
        <v>415</v>
      </c>
      <c r="B418" s="6">
        <v>1512792.2246179658</v>
      </c>
    </row>
    <row r="419" spans="1:2" x14ac:dyDescent="0.35">
      <c r="A419" s="8">
        <v>416</v>
      </c>
      <c r="B419" s="6">
        <v>1109580.3971205875</v>
      </c>
    </row>
    <row r="420" spans="1:2" x14ac:dyDescent="0.35">
      <c r="A420" s="8">
        <v>417</v>
      </c>
      <c r="B420" s="6">
        <v>1515702.9334893683</v>
      </c>
    </row>
    <row r="421" spans="1:2" x14ac:dyDescent="0.35">
      <c r="A421" s="8">
        <v>418</v>
      </c>
      <c r="B421" s="6">
        <v>2261477.7194146509</v>
      </c>
    </row>
    <row r="422" spans="1:2" x14ac:dyDescent="0.35">
      <c r="A422" s="8">
        <v>419</v>
      </c>
      <c r="B422" s="6">
        <v>1542425.4102073691</v>
      </c>
    </row>
    <row r="423" spans="1:2" x14ac:dyDescent="0.35">
      <c r="A423" s="8">
        <v>420</v>
      </c>
      <c r="B423" s="6">
        <v>2483001.1456361683</v>
      </c>
    </row>
    <row r="424" spans="1:2" x14ac:dyDescent="0.35">
      <c r="A424" s="8">
        <v>421</v>
      </c>
      <c r="B424" s="6">
        <v>1333592.074509735</v>
      </c>
    </row>
    <row r="425" spans="1:2" x14ac:dyDescent="0.35">
      <c r="A425" s="8">
        <v>422</v>
      </c>
      <c r="B425" s="6">
        <v>2052015.6961320599</v>
      </c>
    </row>
    <row r="426" spans="1:2" x14ac:dyDescent="0.35">
      <c r="A426" s="8">
        <v>423</v>
      </c>
      <c r="B426" s="6">
        <v>1741015.2899406361</v>
      </c>
    </row>
    <row r="427" spans="1:2" x14ac:dyDescent="0.35">
      <c r="A427" s="8">
        <v>424</v>
      </c>
      <c r="B427" s="6">
        <v>1261631.4998487146</v>
      </c>
    </row>
    <row r="428" spans="1:2" x14ac:dyDescent="0.35">
      <c r="A428" s="8">
        <v>425</v>
      </c>
      <c r="B428" s="6">
        <v>1478635.619579012</v>
      </c>
    </row>
    <row r="429" spans="1:2" x14ac:dyDescent="0.35">
      <c r="A429" s="8">
        <v>426</v>
      </c>
      <c r="B429" s="6">
        <v>1181521.994351875</v>
      </c>
    </row>
    <row r="430" spans="1:2" x14ac:dyDescent="0.35">
      <c r="A430" s="8">
        <v>427</v>
      </c>
      <c r="B430" s="6">
        <v>1200465.2460609118</v>
      </c>
    </row>
    <row r="431" spans="1:2" x14ac:dyDescent="0.35">
      <c r="A431" s="8">
        <v>428</v>
      </c>
      <c r="B431" s="6">
        <v>3610856.9249776471</v>
      </c>
    </row>
    <row r="432" spans="1:2" x14ac:dyDescent="0.35">
      <c r="A432" s="8">
        <v>429</v>
      </c>
      <c r="B432" s="6">
        <v>2180840.5828718673</v>
      </c>
    </row>
    <row r="433" spans="1:2" x14ac:dyDescent="0.35">
      <c r="A433" s="8">
        <v>430</v>
      </c>
      <c r="B433" s="6">
        <v>2073454.6580641787</v>
      </c>
    </row>
    <row r="434" spans="1:2" x14ac:dyDescent="0.35">
      <c r="A434" s="8">
        <v>431</v>
      </c>
      <c r="B434" s="6">
        <v>1318431.2159834763</v>
      </c>
    </row>
    <row r="435" spans="1:2" x14ac:dyDescent="0.35">
      <c r="A435" s="8">
        <v>432</v>
      </c>
      <c r="B435" s="6">
        <v>1523123.1853073712</v>
      </c>
    </row>
    <row r="436" spans="1:2" x14ac:dyDescent="0.35">
      <c r="A436" s="8">
        <v>433</v>
      </c>
      <c r="B436" s="6">
        <v>2267522.0368739651</v>
      </c>
    </row>
    <row r="437" spans="1:2" x14ac:dyDescent="0.35">
      <c r="A437" s="8">
        <v>434</v>
      </c>
      <c r="B437" s="6">
        <v>1538868.909103245</v>
      </c>
    </row>
    <row r="438" spans="1:2" x14ac:dyDescent="0.35">
      <c r="A438" s="8">
        <v>435</v>
      </c>
      <c r="B438" s="6">
        <v>787871.73332671949</v>
      </c>
    </row>
    <row r="439" spans="1:2" x14ac:dyDescent="0.35">
      <c r="A439" s="8">
        <v>436</v>
      </c>
      <c r="B439" s="6">
        <v>1451051.8320253557</v>
      </c>
    </row>
    <row r="440" spans="1:2" x14ac:dyDescent="0.35">
      <c r="A440" s="8">
        <v>437</v>
      </c>
      <c r="B440" s="6">
        <v>1545204.0958856521</v>
      </c>
    </row>
    <row r="441" spans="1:2" x14ac:dyDescent="0.35">
      <c r="A441" s="8">
        <v>438</v>
      </c>
      <c r="B441" s="6">
        <v>1228823.9756037276</v>
      </c>
    </row>
    <row r="442" spans="1:2" x14ac:dyDescent="0.35">
      <c r="A442" s="8">
        <v>439</v>
      </c>
      <c r="B442" s="6">
        <v>1667463.7476533365</v>
      </c>
    </row>
    <row r="443" spans="1:2" x14ac:dyDescent="0.35">
      <c r="A443" s="8">
        <v>440</v>
      </c>
      <c r="B443" s="6">
        <v>2081554.5584555725</v>
      </c>
    </row>
    <row r="444" spans="1:2" x14ac:dyDescent="0.35">
      <c r="A444" s="8">
        <v>441</v>
      </c>
      <c r="B444" s="6">
        <v>1853380.6507089173</v>
      </c>
    </row>
    <row r="445" spans="1:2" x14ac:dyDescent="0.35">
      <c r="A445" s="8">
        <v>442</v>
      </c>
      <c r="B445" s="6">
        <v>1387405.1078211819</v>
      </c>
    </row>
    <row r="446" spans="1:2" x14ac:dyDescent="0.35">
      <c r="A446" s="8">
        <v>443</v>
      </c>
      <c r="B446" s="6">
        <v>2301807.3107889947</v>
      </c>
    </row>
    <row r="447" spans="1:2" x14ac:dyDescent="0.35">
      <c r="A447" s="8">
        <v>444</v>
      </c>
      <c r="B447" s="6">
        <v>2505243.1123412508</v>
      </c>
    </row>
    <row r="448" spans="1:2" x14ac:dyDescent="0.35">
      <c r="A448" s="8">
        <v>445</v>
      </c>
      <c r="B448" s="6">
        <v>1388373.3321016585</v>
      </c>
    </row>
    <row r="449" spans="1:2" x14ac:dyDescent="0.35">
      <c r="A449" s="8">
        <v>446</v>
      </c>
      <c r="B449" s="6">
        <v>1657001.0934059378</v>
      </c>
    </row>
    <row r="450" spans="1:2" x14ac:dyDescent="0.35">
      <c r="A450" s="8">
        <v>447</v>
      </c>
      <c r="B450" s="6">
        <v>1142733.4507096251</v>
      </c>
    </row>
    <row r="451" spans="1:2" x14ac:dyDescent="0.35">
      <c r="A451" s="8">
        <v>448</v>
      </c>
      <c r="B451" s="6">
        <v>1315500.5346876122</v>
      </c>
    </row>
    <row r="452" spans="1:2" x14ac:dyDescent="0.35">
      <c r="A452" s="8">
        <v>449</v>
      </c>
      <c r="B452" s="6">
        <v>1292711.6818511044</v>
      </c>
    </row>
    <row r="453" spans="1:2" x14ac:dyDescent="0.35">
      <c r="A453" s="8">
        <v>450</v>
      </c>
      <c r="B453" s="6">
        <v>1011897.8332751213</v>
      </c>
    </row>
    <row r="454" spans="1:2" x14ac:dyDescent="0.35">
      <c r="A454" s="8">
        <v>451</v>
      </c>
      <c r="B454" s="6">
        <v>1735163.527864265</v>
      </c>
    </row>
    <row r="455" spans="1:2" x14ac:dyDescent="0.35">
      <c r="A455" s="8">
        <v>452</v>
      </c>
      <c r="B455" s="6">
        <v>1881573.1900220339</v>
      </c>
    </row>
    <row r="456" spans="1:2" x14ac:dyDescent="0.35">
      <c r="A456" s="8">
        <v>453</v>
      </c>
      <c r="B456" s="6">
        <v>2714594.3766241237</v>
      </c>
    </row>
    <row r="457" spans="1:2" x14ac:dyDescent="0.35">
      <c r="A457" s="8">
        <v>454</v>
      </c>
      <c r="B457" s="6">
        <v>2083987.5065639063</v>
      </c>
    </row>
    <row r="458" spans="1:2" x14ac:dyDescent="0.35">
      <c r="A458" s="8">
        <v>455</v>
      </c>
      <c r="B458" s="6">
        <v>1816447.0006336088</v>
      </c>
    </row>
    <row r="459" spans="1:2" x14ac:dyDescent="0.35">
      <c r="A459" s="8">
        <v>456</v>
      </c>
      <c r="B459" s="6">
        <v>2130323.0366757927</v>
      </c>
    </row>
    <row r="460" spans="1:2" x14ac:dyDescent="0.35">
      <c r="A460" s="8">
        <v>457</v>
      </c>
      <c r="B460" s="6">
        <v>1900669.5937217749</v>
      </c>
    </row>
    <row r="461" spans="1:2" x14ac:dyDescent="0.35">
      <c r="A461" s="8">
        <v>458</v>
      </c>
      <c r="B461" s="6">
        <v>1618720.9110238454</v>
      </c>
    </row>
    <row r="462" spans="1:2" x14ac:dyDescent="0.35">
      <c r="A462" s="8">
        <v>459</v>
      </c>
      <c r="B462" s="6">
        <v>2249672.8424041038</v>
      </c>
    </row>
    <row r="463" spans="1:2" x14ac:dyDescent="0.35">
      <c r="A463" s="8">
        <v>460</v>
      </c>
      <c r="B463" s="6">
        <v>1322357.9740039138</v>
      </c>
    </row>
    <row r="464" spans="1:2" x14ac:dyDescent="0.35">
      <c r="A464" s="8">
        <v>461</v>
      </c>
      <c r="B464" s="6">
        <v>1411024.1540948234</v>
      </c>
    </row>
    <row r="465" spans="1:2" x14ac:dyDescent="0.35">
      <c r="A465" s="8">
        <v>462</v>
      </c>
      <c r="B465" s="6">
        <v>1912537.4516764428</v>
      </c>
    </row>
    <row r="466" spans="1:2" x14ac:dyDescent="0.35">
      <c r="A466" s="8">
        <v>463</v>
      </c>
      <c r="B466" s="6">
        <v>1386044.9509562096</v>
      </c>
    </row>
    <row r="467" spans="1:2" x14ac:dyDescent="0.35">
      <c r="A467" s="8">
        <v>464</v>
      </c>
      <c r="B467" s="6">
        <v>1621282.5243485509</v>
      </c>
    </row>
    <row r="468" spans="1:2" x14ac:dyDescent="0.35">
      <c r="A468" s="8">
        <v>465</v>
      </c>
      <c r="B468" s="6">
        <v>1778100.1911038826</v>
      </c>
    </row>
    <row r="469" spans="1:2" x14ac:dyDescent="0.35">
      <c r="A469" s="8">
        <v>466</v>
      </c>
      <c r="B469" s="6">
        <v>1137705.8346800222</v>
      </c>
    </row>
    <row r="470" spans="1:2" x14ac:dyDescent="0.35">
      <c r="A470" s="8">
        <v>467</v>
      </c>
      <c r="B470" s="6">
        <v>1523251.1109961546</v>
      </c>
    </row>
    <row r="471" spans="1:2" x14ac:dyDescent="0.35">
      <c r="A471" s="8">
        <v>468</v>
      </c>
      <c r="B471" s="6">
        <v>1850607.9469763208</v>
      </c>
    </row>
    <row r="472" spans="1:2" x14ac:dyDescent="0.35">
      <c r="A472" s="8">
        <v>469</v>
      </c>
      <c r="B472" s="6">
        <v>1409947.752757217</v>
      </c>
    </row>
    <row r="473" spans="1:2" x14ac:dyDescent="0.35">
      <c r="A473" s="8">
        <v>470</v>
      </c>
      <c r="B473" s="6">
        <v>1222864.7717756082</v>
      </c>
    </row>
    <row r="474" spans="1:2" x14ac:dyDescent="0.35">
      <c r="A474" s="8">
        <v>471</v>
      </c>
      <c r="B474" s="6">
        <v>1453808.2569734235</v>
      </c>
    </row>
    <row r="475" spans="1:2" x14ac:dyDescent="0.35">
      <c r="A475" s="8">
        <v>472</v>
      </c>
      <c r="B475" s="6">
        <v>1970215.9317693862</v>
      </c>
    </row>
    <row r="476" spans="1:2" x14ac:dyDescent="0.35">
      <c r="A476" s="8">
        <v>473</v>
      </c>
      <c r="B476" s="6">
        <v>1504677.2233762648</v>
      </c>
    </row>
    <row r="477" spans="1:2" x14ac:dyDescent="0.35">
      <c r="A477" s="8">
        <v>474</v>
      </c>
      <c r="B477" s="6">
        <v>1768061.6413954846</v>
      </c>
    </row>
    <row r="478" spans="1:2" x14ac:dyDescent="0.35">
      <c r="A478" s="8">
        <v>475</v>
      </c>
      <c r="B478" s="6">
        <v>1543126.9334225529</v>
      </c>
    </row>
    <row r="479" spans="1:2" x14ac:dyDescent="0.35">
      <c r="A479" s="8">
        <v>476</v>
      </c>
      <c r="B479" s="6">
        <v>1304329.1396716847</v>
      </c>
    </row>
    <row r="480" spans="1:2" x14ac:dyDescent="0.35">
      <c r="A480" s="8">
        <v>477</v>
      </c>
      <c r="B480" s="6">
        <v>1233030.87983596</v>
      </c>
    </row>
    <row r="481" spans="1:2" x14ac:dyDescent="0.35">
      <c r="A481" s="8">
        <v>478</v>
      </c>
      <c r="B481" s="6">
        <v>1290567.8793029219</v>
      </c>
    </row>
    <row r="482" spans="1:2" x14ac:dyDescent="0.35">
      <c r="A482" s="8">
        <v>479</v>
      </c>
      <c r="B482" s="6">
        <v>3029374.9956433745</v>
      </c>
    </row>
    <row r="483" spans="1:2" x14ac:dyDescent="0.35">
      <c r="A483" s="8">
        <v>480</v>
      </c>
      <c r="B483" s="6">
        <v>1384876.3261971134</v>
      </c>
    </row>
    <row r="484" spans="1:2" x14ac:dyDescent="0.35">
      <c r="A484" s="8">
        <v>481</v>
      </c>
      <c r="B484" s="6">
        <v>1559765.1620629083</v>
      </c>
    </row>
    <row r="485" spans="1:2" x14ac:dyDescent="0.35">
      <c r="A485" s="8">
        <v>482</v>
      </c>
      <c r="B485" s="6">
        <v>1301793.5182043598</v>
      </c>
    </row>
    <row r="486" spans="1:2" x14ac:dyDescent="0.35">
      <c r="A486" s="8">
        <v>483</v>
      </c>
      <c r="B486" s="6">
        <v>1839279.4503509481</v>
      </c>
    </row>
    <row r="487" spans="1:2" x14ac:dyDescent="0.35">
      <c r="A487" s="8">
        <v>484</v>
      </c>
      <c r="B487" s="6">
        <v>1256316.1914934581</v>
      </c>
    </row>
    <row r="488" spans="1:2" x14ac:dyDescent="0.35">
      <c r="A488" s="8">
        <v>485</v>
      </c>
      <c r="B488" s="6">
        <v>1158755.3572301578</v>
      </c>
    </row>
    <row r="489" spans="1:2" x14ac:dyDescent="0.35">
      <c r="A489" s="8">
        <v>486</v>
      </c>
      <c r="B489" s="6">
        <v>1210190.2730294215</v>
      </c>
    </row>
    <row r="490" spans="1:2" x14ac:dyDescent="0.35">
      <c r="A490" s="8">
        <v>487</v>
      </c>
      <c r="B490" s="6">
        <v>942222.67433001532</v>
      </c>
    </row>
    <row r="491" spans="1:2" x14ac:dyDescent="0.35">
      <c r="A491" s="8">
        <v>488</v>
      </c>
      <c r="B491" s="6">
        <v>1326879.5407596608</v>
      </c>
    </row>
    <row r="492" spans="1:2" x14ac:dyDescent="0.35">
      <c r="A492" s="8">
        <v>489</v>
      </c>
      <c r="B492" s="6">
        <v>2358795.2184319766</v>
      </c>
    </row>
    <row r="493" spans="1:2" x14ac:dyDescent="0.35">
      <c r="A493" s="8">
        <v>490</v>
      </c>
      <c r="B493" s="6">
        <v>2252975.2329784478</v>
      </c>
    </row>
    <row r="494" spans="1:2" x14ac:dyDescent="0.35">
      <c r="A494" s="8">
        <v>491</v>
      </c>
      <c r="B494" s="6">
        <v>835462.81964347896</v>
      </c>
    </row>
    <row r="495" spans="1:2" x14ac:dyDescent="0.35">
      <c r="A495" s="8">
        <v>492</v>
      </c>
      <c r="B495" s="6">
        <v>1308680.1424615243</v>
      </c>
    </row>
    <row r="496" spans="1:2" x14ac:dyDescent="0.35">
      <c r="A496" s="8">
        <v>493</v>
      </c>
      <c r="B496" s="6">
        <v>2131205.0729801473</v>
      </c>
    </row>
    <row r="497" spans="1:2" x14ac:dyDescent="0.35">
      <c r="A497" s="8">
        <v>494</v>
      </c>
      <c r="B497" s="6">
        <v>1780858.96257223</v>
      </c>
    </row>
    <row r="498" spans="1:2" x14ac:dyDescent="0.35">
      <c r="A498" s="8">
        <v>495</v>
      </c>
      <c r="B498" s="6">
        <v>2816097.869825121</v>
      </c>
    </row>
    <row r="499" spans="1:2" x14ac:dyDescent="0.35">
      <c r="A499" s="8">
        <v>496</v>
      </c>
      <c r="B499" s="6">
        <v>2185152.1255570333</v>
      </c>
    </row>
    <row r="500" spans="1:2" x14ac:dyDescent="0.35">
      <c r="A500" s="8">
        <v>497</v>
      </c>
      <c r="B500" s="6">
        <v>1491316.9821452969</v>
      </c>
    </row>
    <row r="501" spans="1:2" x14ac:dyDescent="0.35">
      <c r="A501" s="8">
        <v>498</v>
      </c>
      <c r="B501" s="6">
        <v>1298463.738723418</v>
      </c>
    </row>
    <row r="502" spans="1:2" x14ac:dyDescent="0.35">
      <c r="A502" s="8">
        <v>499</v>
      </c>
      <c r="B502" s="6">
        <v>1792072.2105397535</v>
      </c>
    </row>
    <row r="503" spans="1:2" x14ac:dyDescent="0.35">
      <c r="A503" s="8">
        <v>500</v>
      </c>
      <c r="B503" s="6">
        <v>1138782.2538201821</v>
      </c>
    </row>
    <row r="504" spans="1:2" x14ac:dyDescent="0.35">
      <c r="A504" s="8">
        <v>501</v>
      </c>
      <c r="B504" s="6">
        <v>1782385.5919652628</v>
      </c>
    </row>
    <row r="505" spans="1:2" x14ac:dyDescent="0.35">
      <c r="A505" s="8">
        <v>502</v>
      </c>
      <c r="B505" s="6">
        <v>1457391.7342571723</v>
      </c>
    </row>
    <row r="506" spans="1:2" x14ac:dyDescent="0.35">
      <c r="A506" s="8">
        <v>503</v>
      </c>
      <c r="B506" s="6">
        <v>1117266.4391043356</v>
      </c>
    </row>
    <row r="507" spans="1:2" x14ac:dyDescent="0.35">
      <c r="A507" s="8">
        <v>504</v>
      </c>
      <c r="B507" s="6">
        <v>2164876.0598087376</v>
      </c>
    </row>
    <row r="508" spans="1:2" x14ac:dyDescent="0.35">
      <c r="A508" s="8">
        <v>505</v>
      </c>
      <c r="B508" s="6">
        <v>1049699.2687558103</v>
      </c>
    </row>
    <row r="509" spans="1:2" x14ac:dyDescent="0.35">
      <c r="A509" s="8">
        <v>506</v>
      </c>
      <c r="B509" s="6">
        <v>1064421.1130159695</v>
      </c>
    </row>
    <row r="510" spans="1:2" x14ac:dyDescent="0.35">
      <c r="A510" s="8">
        <v>507</v>
      </c>
      <c r="B510" s="6">
        <v>1592696.0156045922</v>
      </c>
    </row>
    <row r="511" spans="1:2" x14ac:dyDescent="0.35">
      <c r="A511" s="8">
        <v>508</v>
      </c>
      <c r="B511" s="6">
        <v>1296049.6242511007</v>
      </c>
    </row>
    <row r="512" spans="1:2" x14ac:dyDescent="0.35">
      <c r="A512" s="8">
        <v>509</v>
      </c>
      <c r="B512" s="6">
        <v>1543090.7815129939</v>
      </c>
    </row>
    <row r="513" spans="1:2" x14ac:dyDescent="0.35">
      <c r="A513" s="8">
        <v>510</v>
      </c>
      <c r="B513" s="6">
        <v>2023220.6327320728</v>
      </c>
    </row>
    <row r="514" spans="1:2" x14ac:dyDescent="0.35">
      <c r="A514" s="8">
        <v>511</v>
      </c>
      <c r="B514" s="6">
        <v>1085508.3062112508</v>
      </c>
    </row>
    <row r="515" spans="1:2" x14ac:dyDescent="0.35">
      <c r="A515" s="8">
        <v>512</v>
      </c>
      <c r="B515" s="6">
        <v>1127481.8679430103</v>
      </c>
    </row>
    <row r="516" spans="1:2" x14ac:dyDescent="0.35">
      <c r="A516" s="8">
        <v>513</v>
      </c>
      <c r="B516" s="6">
        <v>1593310.3233373112</v>
      </c>
    </row>
    <row r="517" spans="1:2" x14ac:dyDescent="0.35">
      <c r="A517" s="8">
        <v>514</v>
      </c>
      <c r="B517" s="6">
        <v>2139820.3786180965</v>
      </c>
    </row>
    <row r="518" spans="1:2" x14ac:dyDescent="0.35">
      <c r="A518" s="8">
        <v>515</v>
      </c>
      <c r="B518" s="6">
        <v>1291057.5031001703</v>
      </c>
    </row>
    <row r="519" spans="1:2" x14ac:dyDescent="0.35">
      <c r="A519" s="8">
        <v>516</v>
      </c>
      <c r="B519" s="6">
        <v>1231567.5348894391</v>
      </c>
    </row>
    <row r="520" spans="1:2" x14ac:dyDescent="0.35">
      <c r="A520" s="8">
        <v>517</v>
      </c>
      <c r="B520" s="6">
        <v>1635450.6885628698</v>
      </c>
    </row>
    <row r="521" spans="1:2" x14ac:dyDescent="0.35">
      <c r="A521" s="8">
        <v>518</v>
      </c>
      <c r="B521" s="6">
        <v>1468988.1443117363</v>
      </c>
    </row>
    <row r="522" spans="1:2" x14ac:dyDescent="0.35">
      <c r="A522" s="8">
        <v>519</v>
      </c>
      <c r="B522" s="6">
        <v>2487176.2740188194</v>
      </c>
    </row>
    <row r="523" spans="1:2" x14ac:dyDescent="0.35">
      <c r="A523" s="8">
        <v>520</v>
      </c>
      <c r="B523" s="6">
        <v>1337075.863173441</v>
      </c>
    </row>
    <row r="524" spans="1:2" x14ac:dyDescent="0.35">
      <c r="A524" s="8">
        <v>521</v>
      </c>
      <c r="B524" s="6">
        <v>1735608.9831172759</v>
      </c>
    </row>
    <row r="525" spans="1:2" x14ac:dyDescent="0.35">
      <c r="A525" s="8">
        <v>522</v>
      </c>
      <c r="B525" s="6">
        <v>1032023.3836764534</v>
      </c>
    </row>
    <row r="526" spans="1:2" x14ac:dyDescent="0.35">
      <c r="A526" s="8">
        <v>523</v>
      </c>
      <c r="B526" s="6">
        <v>1200570.7611871748</v>
      </c>
    </row>
    <row r="527" spans="1:2" x14ac:dyDescent="0.35">
      <c r="A527" s="8">
        <v>524</v>
      </c>
      <c r="B527" s="6">
        <v>1839913.8193282902</v>
      </c>
    </row>
    <row r="528" spans="1:2" x14ac:dyDescent="0.35">
      <c r="A528" s="8">
        <v>525</v>
      </c>
      <c r="B528" s="6">
        <v>1079195.903681461</v>
      </c>
    </row>
    <row r="529" spans="1:2" x14ac:dyDescent="0.35">
      <c r="A529" s="8">
        <v>526</v>
      </c>
      <c r="B529" s="6">
        <v>1567751.5132312449</v>
      </c>
    </row>
    <row r="530" spans="1:2" x14ac:dyDescent="0.35">
      <c r="A530" s="8">
        <v>527</v>
      </c>
      <c r="B530" s="6">
        <v>971859.55856492056</v>
      </c>
    </row>
    <row r="531" spans="1:2" x14ac:dyDescent="0.35">
      <c r="A531" s="8">
        <v>528</v>
      </c>
      <c r="B531" s="6">
        <v>4879401.8763563028</v>
      </c>
    </row>
    <row r="532" spans="1:2" x14ac:dyDescent="0.35">
      <c r="A532" s="8">
        <v>529</v>
      </c>
      <c r="B532" s="6">
        <v>1235728.950748587</v>
      </c>
    </row>
    <row r="533" spans="1:2" x14ac:dyDescent="0.35">
      <c r="A533" s="8">
        <v>530</v>
      </c>
      <c r="B533" s="6">
        <v>2530020.8152472004</v>
      </c>
    </row>
    <row r="534" spans="1:2" x14ac:dyDescent="0.35">
      <c r="A534" s="8">
        <v>531</v>
      </c>
      <c r="B534" s="6">
        <v>1760469.8621877471</v>
      </c>
    </row>
    <row r="535" spans="1:2" x14ac:dyDescent="0.35">
      <c r="A535" s="8">
        <v>532</v>
      </c>
      <c r="B535" s="6">
        <v>819124.24030716869</v>
      </c>
    </row>
    <row r="536" spans="1:2" x14ac:dyDescent="0.35">
      <c r="A536" s="8">
        <v>533</v>
      </c>
      <c r="B536" s="6">
        <v>2022451.5657923245</v>
      </c>
    </row>
    <row r="537" spans="1:2" x14ac:dyDescent="0.35">
      <c r="A537" s="8">
        <v>534</v>
      </c>
      <c r="B537" s="6">
        <v>1519084.0952610041</v>
      </c>
    </row>
    <row r="538" spans="1:2" x14ac:dyDescent="0.35">
      <c r="A538" s="8">
        <v>535</v>
      </c>
      <c r="B538" s="6">
        <v>1434824.4170819069</v>
      </c>
    </row>
    <row r="539" spans="1:2" x14ac:dyDescent="0.35">
      <c r="A539" s="8">
        <v>536</v>
      </c>
      <c r="B539" s="6">
        <v>1824991.4754178312</v>
      </c>
    </row>
    <row r="540" spans="1:2" x14ac:dyDescent="0.35">
      <c r="A540" s="8">
        <v>537</v>
      </c>
      <c r="B540" s="6">
        <v>2645389.7153332909</v>
      </c>
    </row>
    <row r="541" spans="1:2" x14ac:dyDescent="0.35">
      <c r="A541" s="8">
        <v>538</v>
      </c>
      <c r="B541" s="6">
        <v>3401389.8696341678</v>
      </c>
    </row>
    <row r="542" spans="1:2" x14ac:dyDescent="0.35">
      <c r="A542" s="8">
        <v>539</v>
      </c>
      <c r="B542" s="6">
        <v>3610216.8548294255</v>
      </c>
    </row>
    <row r="543" spans="1:2" x14ac:dyDescent="0.35">
      <c r="A543" s="8">
        <v>540</v>
      </c>
      <c r="B543" s="6">
        <v>2390389.0062856367</v>
      </c>
    </row>
    <row r="544" spans="1:2" x14ac:dyDescent="0.35">
      <c r="A544" s="8">
        <v>541</v>
      </c>
      <c r="B544" s="6">
        <v>2583916.355039495</v>
      </c>
    </row>
    <row r="545" spans="1:2" x14ac:dyDescent="0.35">
      <c r="A545" s="8">
        <v>542</v>
      </c>
      <c r="B545" s="6">
        <v>2267706.7139626462</v>
      </c>
    </row>
    <row r="546" spans="1:2" x14ac:dyDescent="0.35">
      <c r="A546" s="8">
        <v>543</v>
      </c>
      <c r="B546" s="6">
        <v>1401283.1293326735</v>
      </c>
    </row>
    <row r="547" spans="1:2" x14ac:dyDescent="0.35">
      <c r="A547" s="8">
        <v>544</v>
      </c>
      <c r="B547" s="6">
        <v>1571935.1456575529</v>
      </c>
    </row>
    <row r="548" spans="1:2" x14ac:dyDescent="0.35">
      <c r="A548" s="8">
        <v>545</v>
      </c>
      <c r="B548" s="6">
        <v>1403818.8043131691</v>
      </c>
    </row>
    <row r="549" spans="1:2" x14ac:dyDescent="0.35">
      <c r="A549" s="8">
        <v>546</v>
      </c>
      <c r="B549" s="6">
        <v>2964109.2151034549</v>
      </c>
    </row>
    <row r="550" spans="1:2" x14ac:dyDescent="0.35">
      <c r="A550" s="8">
        <v>547</v>
      </c>
      <c r="B550" s="6">
        <v>1071300.8751397696</v>
      </c>
    </row>
    <row r="551" spans="1:2" x14ac:dyDescent="0.35">
      <c r="A551" s="8">
        <v>548</v>
      </c>
      <c r="B551" s="6">
        <v>1943136.4601153035</v>
      </c>
    </row>
    <row r="552" spans="1:2" x14ac:dyDescent="0.35">
      <c r="A552" s="8">
        <v>549</v>
      </c>
      <c r="B552" s="6">
        <v>1565236.1878427118</v>
      </c>
    </row>
    <row r="553" spans="1:2" x14ac:dyDescent="0.35">
      <c r="A553" s="8">
        <v>550</v>
      </c>
      <c r="B553" s="6">
        <v>1300272.7182574461</v>
      </c>
    </row>
    <row r="554" spans="1:2" x14ac:dyDescent="0.35">
      <c r="A554" s="8">
        <v>551</v>
      </c>
      <c r="B554" s="6">
        <v>1893288.9791564092</v>
      </c>
    </row>
    <row r="555" spans="1:2" x14ac:dyDescent="0.35">
      <c r="A555" s="8">
        <v>552</v>
      </c>
      <c r="B555" s="6">
        <v>-4031893.0679774242</v>
      </c>
    </row>
    <row r="556" spans="1:2" x14ac:dyDescent="0.35">
      <c r="A556" s="8">
        <v>553</v>
      </c>
      <c r="B556" s="6">
        <v>2755925.5240150122</v>
      </c>
    </row>
    <row r="557" spans="1:2" x14ac:dyDescent="0.35">
      <c r="A557" s="8">
        <v>554</v>
      </c>
      <c r="B557" s="6">
        <v>2124165.2682029502</v>
      </c>
    </row>
    <row r="558" spans="1:2" x14ac:dyDescent="0.35">
      <c r="A558" s="8">
        <v>555</v>
      </c>
      <c r="B558" s="6">
        <v>1696058.0075503769</v>
      </c>
    </row>
    <row r="559" spans="1:2" x14ac:dyDescent="0.35">
      <c r="A559" s="8">
        <v>556</v>
      </c>
      <c r="B559" s="6">
        <v>1167954.4755964307</v>
      </c>
    </row>
    <row r="560" spans="1:2" x14ac:dyDescent="0.35">
      <c r="A560" s="8">
        <v>557</v>
      </c>
      <c r="B560" s="6">
        <v>2439607.2413057298</v>
      </c>
    </row>
    <row r="561" spans="1:2" x14ac:dyDescent="0.35">
      <c r="A561" s="8">
        <v>558</v>
      </c>
      <c r="B561" s="6">
        <v>2201349.6138110422</v>
      </c>
    </row>
    <row r="562" spans="1:2" x14ac:dyDescent="0.35">
      <c r="A562" s="8">
        <v>559</v>
      </c>
      <c r="B562" s="6">
        <v>1941833.7353992872</v>
      </c>
    </row>
    <row r="563" spans="1:2" x14ac:dyDescent="0.35">
      <c r="A563" s="8">
        <v>560</v>
      </c>
      <c r="B563" s="6">
        <v>1720467.7959378348</v>
      </c>
    </row>
    <row r="564" spans="1:2" x14ac:dyDescent="0.35">
      <c r="A564" s="8">
        <v>561</v>
      </c>
      <c r="B564" s="6">
        <v>1070014.4735288834</v>
      </c>
    </row>
    <row r="565" spans="1:2" x14ac:dyDescent="0.35">
      <c r="A565" s="8">
        <v>562</v>
      </c>
      <c r="B565" s="6">
        <v>1918505.3104733455</v>
      </c>
    </row>
    <row r="566" spans="1:2" x14ac:dyDescent="0.35">
      <c r="A566" s="8">
        <v>563</v>
      </c>
      <c r="B566" s="6">
        <v>1656105.0776441824</v>
      </c>
    </row>
    <row r="567" spans="1:2" x14ac:dyDescent="0.35">
      <c r="A567" s="8">
        <v>564</v>
      </c>
      <c r="B567" s="6">
        <v>1616287.0540860058</v>
      </c>
    </row>
    <row r="568" spans="1:2" x14ac:dyDescent="0.35">
      <c r="A568" s="8">
        <v>565</v>
      </c>
      <c r="B568" s="6">
        <v>2521597.0766793462</v>
      </c>
    </row>
    <row r="569" spans="1:2" x14ac:dyDescent="0.35">
      <c r="A569" s="8">
        <v>566</v>
      </c>
      <c r="B569" s="6">
        <v>1014370.5447653164</v>
      </c>
    </row>
    <row r="570" spans="1:2" x14ac:dyDescent="0.35">
      <c r="A570" s="8">
        <v>567</v>
      </c>
      <c r="B570" s="6">
        <v>1189938.7129692924</v>
      </c>
    </row>
    <row r="571" spans="1:2" x14ac:dyDescent="0.35">
      <c r="A571" s="8">
        <v>568</v>
      </c>
      <c r="B571" s="6">
        <v>1875666.9605480246</v>
      </c>
    </row>
    <row r="572" spans="1:2" x14ac:dyDescent="0.35">
      <c r="A572" s="8">
        <v>569</v>
      </c>
      <c r="B572" s="6">
        <v>1875139.5446358018</v>
      </c>
    </row>
    <row r="573" spans="1:2" x14ac:dyDescent="0.35">
      <c r="A573" s="8">
        <v>570</v>
      </c>
      <c r="B573" s="6">
        <v>1780134.7764203758</v>
      </c>
    </row>
    <row r="574" spans="1:2" x14ac:dyDescent="0.35">
      <c r="A574" s="8">
        <v>571</v>
      </c>
      <c r="B574" s="6">
        <v>2019611.0958310743</v>
      </c>
    </row>
    <row r="575" spans="1:2" x14ac:dyDescent="0.35">
      <c r="A575" s="8">
        <v>572</v>
      </c>
      <c r="B575" s="6">
        <v>1499723.1903758757</v>
      </c>
    </row>
    <row r="576" spans="1:2" x14ac:dyDescent="0.35">
      <c r="A576" s="8">
        <v>573</v>
      </c>
      <c r="B576" s="6">
        <v>1585662.1932074886</v>
      </c>
    </row>
    <row r="577" spans="1:2" x14ac:dyDescent="0.35">
      <c r="A577" s="8">
        <v>574</v>
      </c>
      <c r="B577" s="6">
        <v>1676652.4182199067</v>
      </c>
    </row>
    <row r="578" spans="1:2" x14ac:dyDescent="0.35">
      <c r="A578" s="8">
        <v>575</v>
      </c>
      <c r="B578" s="6">
        <v>2408375.8345174049</v>
      </c>
    </row>
    <row r="579" spans="1:2" x14ac:dyDescent="0.35">
      <c r="A579" s="8">
        <v>576</v>
      </c>
      <c r="B579" s="6">
        <v>1110888.0495458948</v>
      </c>
    </row>
    <row r="580" spans="1:2" x14ac:dyDescent="0.35">
      <c r="A580" s="8">
        <v>577</v>
      </c>
      <c r="B580" s="6">
        <v>2166436.5921552889</v>
      </c>
    </row>
    <row r="581" spans="1:2" x14ac:dyDescent="0.35">
      <c r="A581" s="8">
        <v>578</v>
      </c>
      <c r="B581" s="6">
        <v>2272102.6165415822</v>
      </c>
    </row>
    <row r="582" spans="1:2" x14ac:dyDescent="0.35">
      <c r="A582" s="8">
        <v>579</v>
      </c>
      <c r="B582" s="6">
        <v>1551044.7202935361</v>
      </c>
    </row>
    <row r="583" spans="1:2" x14ac:dyDescent="0.35">
      <c r="A583" s="8">
        <v>580</v>
      </c>
      <c r="B583" s="6">
        <v>1881413.7111633033</v>
      </c>
    </row>
    <row r="584" spans="1:2" x14ac:dyDescent="0.35">
      <c r="A584" s="8">
        <v>581</v>
      </c>
      <c r="B584" s="6">
        <v>1816537.9766825507</v>
      </c>
    </row>
    <row r="585" spans="1:2" x14ac:dyDescent="0.35">
      <c r="A585" s="8">
        <v>582</v>
      </c>
      <c r="B585" s="6">
        <v>1685138.8835049085</v>
      </c>
    </row>
    <row r="586" spans="1:2" x14ac:dyDescent="0.35">
      <c r="A586" s="8">
        <v>583</v>
      </c>
      <c r="B586" s="6">
        <v>1839032.4128468558</v>
      </c>
    </row>
    <row r="587" spans="1:2" x14ac:dyDescent="0.35">
      <c r="A587" s="8">
        <v>584</v>
      </c>
      <c r="B587" s="6">
        <v>1406681.7512431326</v>
      </c>
    </row>
    <row r="588" spans="1:2" x14ac:dyDescent="0.35">
      <c r="A588" s="8">
        <v>585</v>
      </c>
      <c r="B588" s="6">
        <v>1591280.3181362315</v>
      </c>
    </row>
    <row r="589" spans="1:2" x14ac:dyDescent="0.35">
      <c r="A589" s="8">
        <v>586</v>
      </c>
      <c r="B589" s="6">
        <v>1581857.9784763688</v>
      </c>
    </row>
    <row r="590" spans="1:2" x14ac:dyDescent="0.35">
      <c r="A590" s="8">
        <v>587</v>
      </c>
      <c r="B590" s="6">
        <v>1629914.8686884805</v>
      </c>
    </row>
    <row r="591" spans="1:2" x14ac:dyDescent="0.35">
      <c r="A591" s="8">
        <v>588</v>
      </c>
      <c r="B591" s="6">
        <v>1586083.7274503005</v>
      </c>
    </row>
    <row r="592" spans="1:2" x14ac:dyDescent="0.35">
      <c r="A592" s="8">
        <v>589</v>
      </c>
      <c r="B592" s="6">
        <v>1413298.8400458428</v>
      </c>
    </row>
    <row r="593" spans="1:2" x14ac:dyDescent="0.35">
      <c r="A593" s="8">
        <v>590</v>
      </c>
      <c r="B593" s="6">
        <v>1696104.7930944052</v>
      </c>
    </row>
    <row r="594" spans="1:2" x14ac:dyDescent="0.35">
      <c r="A594" s="8">
        <v>591</v>
      </c>
      <c r="B594" s="6">
        <v>1466027.8428754429</v>
      </c>
    </row>
    <row r="595" spans="1:2" x14ac:dyDescent="0.35">
      <c r="A595" s="8">
        <v>592</v>
      </c>
      <c r="B595" s="6">
        <v>1002841.6512200948</v>
      </c>
    </row>
    <row r="596" spans="1:2" x14ac:dyDescent="0.35">
      <c r="A596" s="8">
        <v>593</v>
      </c>
      <c r="B596" s="6">
        <v>1383008.9140277554</v>
      </c>
    </row>
    <row r="597" spans="1:2" x14ac:dyDescent="0.35">
      <c r="A597" s="8">
        <v>594</v>
      </c>
      <c r="B597" s="6">
        <v>1068328.4375685132</v>
      </c>
    </row>
    <row r="598" spans="1:2" x14ac:dyDescent="0.35">
      <c r="A598" s="8">
        <v>595</v>
      </c>
      <c r="B598" s="6">
        <v>1365682.5521634384</v>
      </c>
    </row>
    <row r="599" spans="1:2" x14ac:dyDescent="0.35">
      <c r="A599" s="8">
        <v>596</v>
      </c>
      <c r="B599" s="6">
        <v>1582168.6698595313</v>
      </c>
    </row>
    <row r="600" spans="1:2" x14ac:dyDescent="0.35">
      <c r="A600" s="8">
        <v>597</v>
      </c>
      <c r="B600" s="6">
        <v>1235113.2408292484</v>
      </c>
    </row>
    <row r="601" spans="1:2" x14ac:dyDescent="0.35">
      <c r="A601" s="8">
        <v>598</v>
      </c>
      <c r="B601" s="6">
        <v>3360252.3492151285</v>
      </c>
    </row>
    <row r="602" spans="1:2" x14ac:dyDescent="0.35">
      <c r="A602" s="8">
        <v>599</v>
      </c>
      <c r="B602" s="6">
        <v>1277286.8995490968</v>
      </c>
    </row>
    <row r="603" spans="1:2" x14ac:dyDescent="0.35">
      <c r="A603" s="8">
        <v>600</v>
      </c>
      <c r="B603" s="6">
        <v>2439172.9609036525</v>
      </c>
    </row>
    <row r="604" spans="1:2" x14ac:dyDescent="0.35">
      <c r="A604" s="8">
        <v>601</v>
      </c>
      <c r="B604" s="6">
        <v>1538915.4693332177</v>
      </c>
    </row>
    <row r="605" spans="1:2" x14ac:dyDescent="0.35">
      <c r="A605" s="8">
        <v>602</v>
      </c>
      <c r="B605" s="6">
        <v>1226998.0353807984</v>
      </c>
    </row>
    <row r="606" spans="1:2" x14ac:dyDescent="0.35">
      <c r="A606" s="8">
        <v>603</v>
      </c>
      <c r="B606" s="6">
        <v>1966226.5371617139</v>
      </c>
    </row>
    <row r="607" spans="1:2" x14ac:dyDescent="0.35">
      <c r="A607" s="8">
        <v>604</v>
      </c>
      <c r="B607" s="6">
        <v>1609394.9347042944</v>
      </c>
    </row>
    <row r="608" spans="1:2" x14ac:dyDescent="0.35">
      <c r="A608" s="8">
        <v>605</v>
      </c>
      <c r="B608" s="6">
        <v>1310775.0050737336</v>
      </c>
    </row>
    <row r="609" spans="1:2" x14ac:dyDescent="0.35">
      <c r="A609" s="8">
        <v>606</v>
      </c>
      <c r="B609" s="6">
        <v>1978675.7316225127</v>
      </c>
    </row>
    <row r="610" spans="1:2" x14ac:dyDescent="0.35">
      <c r="A610" s="8">
        <v>607</v>
      </c>
      <c r="B610" s="6">
        <v>1681010.8415527251</v>
      </c>
    </row>
    <row r="611" spans="1:2" x14ac:dyDescent="0.35">
      <c r="A611" s="8">
        <v>608</v>
      </c>
      <c r="B611" s="6">
        <v>1398828.4744418079</v>
      </c>
    </row>
    <row r="612" spans="1:2" x14ac:dyDescent="0.35">
      <c r="A612" s="8">
        <v>609</v>
      </c>
      <c r="B612" s="6">
        <v>1664312.3202717216</v>
      </c>
    </row>
    <row r="613" spans="1:2" x14ac:dyDescent="0.35">
      <c r="A613" s="8">
        <v>610</v>
      </c>
      <c r="B613" s="6">
        <v>2373048.1219470212</v>
      </c>
    </row>
    <row r="614" spans="1:2" x14ac:dyDescent="0.35">
      <c r="A614" s="8">
        <v>611</v>
      </c>
      <c r="B614" s="6">
        <v>1944803.8557655127</v>
      </c>
    </row>
    <row r="615" spans="1:2" x14ac:dyDescent="0.35">
      <c r="A615" s="8">
        <v>612</v>
      </c>
      <c r="B615" s="6">
        <v>1931370.0680325194</v>
      </c>
    </row>
    <row r="616" spans="1:2" x14ac:dyDescent="0.35">
      <c r="A616" s="8">
        <v>613</v>
      </c>
      <c r="B616" s="6">
        <v>989715.4032885409</v>
      </c>
    </row>
    <row r="617" spans="1:2" x14ac:dyDescent="0.35">
      <c r="A617" s="8">
        <v>614</v>
      </c>
      <c r="B617" s="6">
        <v>2060833.3407580266</v>
      </c>
    </row>
    <row r="618" spans="1:2" x14ac:dyDescent="0.35">
      <c r="A618" s="8">
        <v>615</v>
      </c>
      <c r="B618" s="6">
        <v>870808.16128143296</v>
      </c>
    </row>
    <row r="619" spans="1:2" x14ac:dyDescent="0.35">
      <c r="A619" s="8">
        <v>616</v>
      </c>
      <c r="B619" s="6">
        <v>1171210.8552531269</v>
      </c>
    </row>
    <row r="620" spans="1:2" x14ac:dyDescent="0.35">
      <c r="A620" s="8">
        <v>617</v>
      </c>
      <c r="B620" s="6">
        <v>1562800.931810206</v>
      </c>
    </row>
    <row r="621" spans="1:2" x14ac:dyDescent="0.35">
      <c r="A621" s="8">
        <v>618</v>
      </c>
      <c r="B621" s="6">
        <v>1910378.8686496583</v>
      </c>
    </row>
    <row r="622" spans="1:2" x14ac:dyDescent="0.35">
      <c r="A622" s="8">
        <v>619</v>
      </c>
      <c r="B622" s="6">
        <v>1640170.1171964058</v>
      </c>
    </row>
    <row r="623" spans="1:2" x14ac:dyDescent="0.35">
      <c r="A623" s="8">
        <v>620</v>
      </c>
      <c r="B623" s="6">
        <v>2274114.8116645864</v>
      </c>
    </row>
    <row r="624" spans="1:2" x14ac:dyDescent="0.35">
      <c r="A624" s="8">
        <v>621</v>
      </c>
      <c r="B624" s="6">
        <v>1466070.2791768673</v>
      </c>
    </row>
    <row r="625" spans="1:2" x14ac:dyDescent="0.35">
      <c r="A625" s="8">
        <v>622</v>
      </c>
      <c r="B625" s="6">
        <v>2700766.2066153735</v>
      </c>
    </row>
    <row r="626" spans="1:2" x14ac:dyDescent="0.35">
      <c r="A626" s="8">
        <v>623</v>
      </c>
      <c r="B626" s="6">
        <v>834126.8356845791</v>
      </c>
    </row>
    <row r="627" spans="1:2" x14ac:dyDescent="0.35">
      <c r="A627" s="8">
        <v>624</v>
      </c>
      <c r="B627" s="6">
        <v>1495934.2094542093</v>
      </c>
    </row>
    <row r="628" spans="1:2" x14ac:dyDescent="0.35">
      <c r="A628" s="8">
        <v>625</v>
      </c>
      <c r="B628" s="6">
        <v>1022135.0167916312</v>
      </c>
    </row>
    <row r="629" spans="1:2" x14ac:dyDescent="0.35">
      <c r="A629" s="8">
        <v>626</v>
      </c>
      <c r="B629" s="6">
        <v>1280674.5467033852</v>
      </c>
    </row>
    <row r="630" spans="1:2" x14ac:dyDescent="0.35">
      <c r="A630" s="8">
        <v>627</v>
      </c>
      <c r="B630" s="6">
        <v>1773644.8091931124</v>
      </c>
    </row>
    <row r="631" spans="1:2" x14ac:dyDescent="0.35">
      <c r="A631" s="8">
        <v>628</v>
      </c>
      <c r="B631" s="6">
        <v>1543456.3200291209</v>
      </c>
    </row>
    <row r="632" spans="1:2" x14ac:dyDescent="0.35">
      <c r="A632" s="8">
        <v>629</v>
      </c>
      <c r="B632" s="6">
        <v>2548599.2326662648</v>
      </c>
    </row>
    <row r="633" spans="1:2" x14ac:dyDescent="0.35">
      <c r="A633" s="8">
        <v>630</v>
      </c>
      <c r="B633" s="6">
        <v>1500810.0006845661</v>
      </c>
    </row>
    <row r="634" spans="1:2" x14ac:dyDescent="0.35">
      <c r="A634" s="8">
        <v>631</v>
      </c>
      <c r="B634" s="6">
        <v>1409217.6185610509</v>
      </c>
    </row>
    <row r="635" spans="1:2" x14ac:dyDescent="0.35">
      <c r="A635" s="8">
        <v>632</v>
      </c>
      <c r="B635" s="6">
        <v>1325218.2652954985</v>
      </c>
    </row>
    <row r="636" spans="1:2" x14ac:dyDescent="0.35">
      <c r="A636" s="8">
        <v>633</v>
      </c>
      <c r="B636" s="6">
        <v>1306881.7460138025</v>
      </c>
    </row>
    <row r="637" spans="1:2" x14ac:dyDescent="0.35">
      <c r="A637" s="8">
        <v>634</v>
      </c>
      <c r="B637" s="6">
        <v>1992900.3538729013</v>
      </c>
    </row>
    <row r="638" spans="1:2" x14ac:dyDescent="0.35">
      <c r="A638" s="8">
        <v>635</v>
      </c>
      <c r="B638" s="6">
        <v>1491862.770622351</v>
      </c>
    </row>
    <row r="639" spans="1:2" x14ac:dyDescent="0.35">
      <c r="A639" s="8">
        <v>636</v>
      </c>
      <c r="B639" s="6">
        <v>1467642.9237548457</v>
      </c>
    </row>
    <row r="640" spans="1:2" x14ac:dyDescent="0.35">
      <c r="A640" s="8">
        <v>637</v>
      </c>
      <c r="B640" s="6">
        <v>1479688.2095187842</v>
      </c>
    </row>
    <row r="641" spans="1:2" x14ac:dyDescent="0.35">
      <c r="A641" s="8">
        <v>638</v>
      </c>
      <c r="B641" s="6">
        <v>1352561.6802825038</v>
      </c>
    </row>
    <row r="642" spans="1:2" x14ac:dyDescent="0.35">
      <c r="A642" s="8">
        <v>639</v>
      </c>
      <c r="B642" s="6">
        <v>1230946.6511093625</v>
      </c>
    </row>
    <row r="643" spans="1:2" x14ac:dyDescent="0.35">
      <c r="A643" s="8">
        <v>640</v>
      </c>
      <c r="B643" s="6">
        <v>1549705.964523348</v>
      </c>
    </row>
    <row r="644" spans="1:2" x14ac:dyDescent="0.35">
      <c r="A644" s="8">
        <v>641</v>
      </c>
      <c r="B644" s="6">
        <v>1286214.9684986062</v>
      </c>
    </row>
    <row r="645" spans="1:2" x14ac:dyDescent="0.35">
      <c r="A645" s="8">
        <v>642</v>
      </c>
      <c r="B645" s="6">
        <v>717410.04993579444</v>
      </c>
    </row>
    <row r="646" spans="1:2" x14ac:dyDescent="0.35">
      <c r="A646" s="8">
        <v>643</v>
      </c>
      <c r="B646" s="6">
        <v>1589397.5350146808</v>
      </c>
    </row>
    <row r="647" spans="1:2" x14ac:dyDescent="0.35">
      <c r="A647" s="8">
        <v>644</v>
      </c>
      <c r="B647" s="6">
        <v>-1072895.9227106369</v>
      </c>
    </row>
    <row r="648" spans="1:2" x14ac:dyDescent="0.35">
      <c r="A648" s="8">
        <v>645</v>
      </c>
      <c r="B648" s="6">
        <v>2067765.4044310898</v>
      </c>
    </row>
    <row r="649" spans="1:2" x14ac:dyDescent="0.35">
      <c r="A649" s="8">
        <v>646</v>
      </c>
      <c r="B649" s="6">
        <v>1411078.3819672978</v>
      </c>
    </row>
    <row r="650" spans="1:2" x14ac:dyDescent="0.35">
      <c r="A650" s="8">
        <v>647</v>
      </c>
      <c r="B650" s="6">
        <v>1297613.9413014424</v>
      </c>
    </row>
    <row r="651" spans="1:2" x14ac:dyDescent="0.35">
      <c r="A651" s="8">
        <v>648</v>
      </c>
      <c r="B651" s="6">
        <v>1670175.5872313275</v>
      </c>
    </row>
    <row r="652" spans="1:2" x14ac:dyDescent="0.35">
      <c r="A652" s="8">
        <v>649</v>
      </c>
      <c r="B652" s="6">
        <v>2318742.6057203403</v>
      </c>
    </row>
    <row r="653" spans="1:2" x14ac:dyDescent="0.35">
      <c r="A653" s="8">
        <v>650</v>
      </c>
      <c r="B653" s="6">
        <v>1426748.2823697</v>
      </c>
    </row>
    <row r="654" spans="1:2" x14ac:dyDescent="0.35">
      <c r="A654" s="8">
        <v>651</v>
      </c>
      <c r="B654" s="6">
        <v>2874716.7229853529</v>
      </c>
    </row>
    <row r="655" spans="1:2" x14ac:dyDescent="0.35">
      <c r="A655" s="8">
        <v>652</v>
      </c>
      <c r="B655" s="6">
        <v>1933794.6792216047</v>
      </c>
    </row>
    <row r="656" spans="1:2" x14ac:dyDescent="0.35">
      <c r="A656" s="8">
        <v>653</v>
      </c>
      <c r="B656" s="6">
        <v>1452427.3315146985</v>
      </c>
    </row>
    <row r="657" spans="1:2" x14ac:dyDescent="0.35">
      <c r="A657" s="8">
        <v>654</v>
      </c>
      <c r="B657" s="6">
        <v>1127775.5965163251</v>
      </c>
    </row>
    <row r="658" spans="1:2" x14ac:dyDescent="0.35">
      <c r="A658" s="8">
        <v>655</v>
      </c>
      <c r="B658" s="6">
        <v>1078640.2766881315</v>
      </c>
    </row>
    <row r="659" spans="1:2" x14ac:dyDescent="0.35">
      <c r="A659" s="8">
        <v>656</v>
      </c>
      <c r="B659" s="6">
        <v>1230510.3106656687</v>
      </c>
    </row>
    <row r="660" spans="1:2" x14ac:dyDescent="0.35">
      <c r="A660" s="8">
        <v>657</v>
      </c>
      <c r="B660" s="6">
        <v>2236505.9902891824</v>
      </c>
    </row>
    <row r="661" spans="1:2" x14ac:dyDescent="0.35">
      <c r="A661" s="8">
        <v>658</v>
      </c>
      <c r="B661" s="6">
        <v>1384402.0067590203</v>
      </c>
    </row>
    <row r="662" spans="1:2" x14ac:dyDescent="0.35">
      <c r="A662" s="8">
        <v>659</v>
      </c>
      <c r="B662" s="6">
        <v>2483654.3491899623</v>
      </c>
    </row>
    <row r="663" spans="1:2" x14ac:dyDescent="0.35">
      <c r="A663" s="8">
        <v>660</v>
      </c>
      <c r="B663" s="6">
        <v>2123602.5415294576</v>
      </c>
    </row>
    <row r="664" spans="1:2" x14ac:dyDescent="0.35">
      <c r="A664" s="8">
        <v>661</v>
      </c>
      <c r="B664" s="6">
        <v>2577051.8831723975</v>
      </c>
    </row>
    <row r="665" spans="1:2" x14ac:dyDescent="0.35">
      <c r="A665" s="8">
        <v>662</v>
      </c>
      <c r="B665" s="6">
        <v>2698406.0496813892</v>
      </c>
    </row>
    <row r="666" spans="1:2" x14ac:dyDescent="0.35">
      <c r="A666" s="8">
        <v>663</v>
      </c>
      <c r="B666" s="6">
        <v>1110934.88032297</v>
      </c>
    </row>
    <row r="667" spans="1:2" x14ac:dyDescent="0.35">
      <c r="A667" s="8">
        <v>664</v>
      </c>
      <c r="B667" s="6">
        <v>1025373.4331566563</v>
      </c>
    </row>
    <row r="668" spans="1:2" x14ac:dyDescent="0.35">
      <c r="A668" s="8">
        <v>665</v>
      </c>
      <c r="B668" s="6">
        <v>3295913.5742787975</v>
      </c>
    </row>
    <row r="669" spans="1:2" x14ac:dyDescent="0.35">
      <c r="A669" s="8">
        <v>666</v>
      </c>
      <c r="B669" s="6">
        <v>2512102.0670786677</v>
      </c>
    </row>
    <row r="670" spans="1:2" x14ac:dyDescent="0.35">
      <c r="A670" s="8">
        <v>667</v>
      </c>
      <c r="B670" s="6">
        <v>2587525.6307971245</v>
      </c>
    </row>
    <row r="671" spans="1:2" x14ac:dyDescent="0.35">
      <c r="A671" s="8">
        <v>668</v>
      </c>
      <c r="B671" s="6">
        <v>1299884.6460758897</v>
      </c>
    </row>
    <row r="672" spans="1:2" x14ac:dyDescent="0.35">
      <c r="A672" s="8">
        <v>669</v>
      </c>
      <c r="B672" s="6">
        <v>1547973.4759891641</v>
      </c>
    </row>
    <row r="673" spans="1:2" x14ac:dyDescent="0.35">
      <c r="A673" s="8">
        <v>670</v>
      </c>
      <c r="B673" s="6">
        <v>1459874.9029243598</v>
      </c>
    </row>
    <row r="674" spans="1:2" x14ac:dyDescent="0.35">
      <c r="A674" s="8">
        <v>671</v>
      </c>
      <c r="B674" s="6">
        <v>1313171.4562295633</v>
      </c>
    </row>
    <row r="675" spans="1:2" x14ac:dyDescent="0.35">
      <c r="A675" s="8">
        <v>672</v>
      </c>
      <c r="B675" s="6">
        <v>932939.46391880268</v>
      </c>
    </row>
    <row r="676" spans="1:2" x14ac:dyDescent="0.35">
      <c r="A676" s="8">
        <v>673</v>
      </c>
      <c r="B676" s="6">
        <v>1749631.3936299712</v>
      </c>
    </row>
    <row r="677" spans="1:2" x14ac:dyDescent="0.35">
      <c r="A677" s="8">
        <v>674</v>
      </c>
      <c r="B677" s="6">
        <v>1616449.6028624808</v>
      </c>
    </row>
    <row r="678" spans="1:2" x14ac:dyDescent="0.35">
      <c r="A678" s="8">
        <v>675</v>
      </c>
      <c r="B678" s="6">
        <v>1786735.4141859361</v>
      </c>
    </row>
    <row r="679" spans="1:2" x14ac:dyDescent="0.35">
      <c r="A679" s="8">
        <v>676</v>
      </c>
      <c r="B679" s="6">
        <v>2083829.1151078574</v>
      </c>
    </row>
    <row r="680" spans="1:2" x14ac:dyDescent="0.35">
      <c r="A680" s="8">
        <v>677</v>
      </c>
      <c r="B680" s="6">
        <v>1399009.7455523342</v>
      </c>
    </row>
    <row r="681" spans="1:2" x14ac:dyDescent="0.35">
      <c r="A681" s="8">
        <v>678</v>
      </c>
      <c r="B681" s="6">
        <v>1884371.8359854131</v>
      </c>
    </row>
    <row r="682" spans="1:2" x14ac:dyDescent="0.35">
      <c r="A682" s="8">
        <v>679</v>
      </c>
      <c r="B682" s="6">
        <v>1691812.168137921</v>
      </c>
    </row>
    <row r="683" spans="1:2" x14ac:dyDescent="0.35">
      <c r="A683" s="8">
        <v>680</v>
      </c>
      <c r="B683" s="6">
        <v>1498654.2683315496</v>
      </c>
    </row>
    <row r="684" spans="1:2" x14ac:dyDescent="0.35">
      <c r="A684" s="8">
        <v>681</v>
      </c>
      <c r="B684" s="6">
        <v>1751796.5148406154</v>
      </c>
    </row>
    <row r="685" spans="1:2" x14ac:dyDescent="0.35">
      <c r="A685" s="8">
        <v>682</v>
      </c>
      <c r="B685" s="6">
        <v>2092497.2592822844</v>
      </c>
    </row>
    <row r="686" spans="1:2" x14ac:dyDescent="0.35">
      <c r="A686" s="8">
        <v>683</v>
      </c>
      <c r="B686" s="6">
        <v>1863756.4825611408</v>
      </c>
    </row>
    <row r="687" spans="1:2" x14ac:dyDescent="0.35">
      <c r="A687" s="8">
        <v>684</v>
      </c>
      <c r="B687" s="6">
        <v>3492817.6526713953</v>
      </c>
    </row>
    <row r="688" spans="1:2" x14ac:dyDescent="0.35">
      <c r="A688" s="8">
        <v>685</v>
      </c>
      <c r="B688" s="6">
        <v>1057370.7512359121</v>
      </c>
    </row>
    <row r="689" spans="1:2" x14ac:dyDescent="0.35">
      <c r="A689" s="8">
        <v>686</v>
      </c>
      <c r="B689" s="6">
        <v>2037593.7534975433</v>
      </c>
    </row>
    <row r="690" spans="1:2" x14ac:dyDescent="0.35">
      <c r="A690" s="8">
        <v>687</v>
      </c>
      <c r="B690" s="6">
        <v>1380598.068654472</v>
      </c>
    </row>
    <row r="691" spans="1:2" x14ac:dyDescent="0.35">
      <c r="A691" s="8">
        <v>688</v>
      </c>
      <c r="B691" s="6">
        <v>837587.25327909971</v>
      </c>
    </row>
    <row r="692" spans="1:2" x14ac:dyDescent="0.35">
      <c r="A692" s="8">
        <v>689</v>
      </c>
      <c r="B692" s="6">
        <v>1905167.8711507798</v>
      </c>
    </row>
    <row r="693" spans="1:2" x14ac:dyDescent="0.35">
      <c r="A693" s="8">
        <v>690</v>
      </c>
      <c r="B693" s="6">
        <v>2350269.6069891434</v>
      </c>
    </row>
    <row r="694" spans="1:2" x14ac:dyDescent="0.35">
      <c r="A694" s="8">
        <v>691</v>
      </c>
      <c r="B694" s="6">
        <v>1919665.5160124816</v>
      </c>
    </row>
    <row r="695" spans="1:2" x14ac:dyDescent="0.35">
      <c r="A695" s="8">
        <v>692</v>
      </c>
      <c r="B695" s="6">
        <v>1743110.9264061768</v>
      </c>
    </row>
    <row r="696" spans="1:2" x14ac:dyDescent="0.35">
      <c r="A696" s="8">
        <v>693</v>
      </c>
      <c r="B696" s="6">
        <v>1022003.2366140794</v>
      </c>
    </row>
    <row r="697" spans="1:2" x14ac:dyDescent="0.35">
      <c r="A697" s="8">
        <v>694</v>
      </c>
      <c r="B697" s="6">
        <v>1755125.2641508738</v>
      </c>
    </row>
    <row r="698" spans="1:2" x14ac:dyDescent="0.35">
      <c r="A698" s="8">
        <v>695</v>
      </c>
      <c r="B698" s="6">
        <v>1566181.2049788916</v>
      </c>
    </row>
    <row r="699" spans="1:2" x14ac:dyDescent="0.35">
      <c r="A699" s="8">
        <v>696</v>
      </c>
      <c r="B699" s="6">
        <v>1149405.4577880423</v>
      </c>
    </row>
    <row r="700" spans="1:2" x14ac:dyDescent="0.35">
      <c r="A700" s="8">
        <v>697</v>
      </c>
      <c r="B700" s="6">
        <v>1658640.5295982661</v>
      </c>
    </row>
    <row r="701" spans="1:2" x14ac:dyDescent="0.35">
      <c r="A701" s="8">
        <v>698</v>
      </c>
      <c r="B701" s="6">
        <v>1879980.6162607512</v>
      </c>
    </row>
    <row r="702" spans="1:2" x14ac:dyDescent="0.35">
      <c r="A702" s="8">
        <v>699</v>
      </c>
      <c r="B702" s="6">
        <v>1278947.3951028972</v>
      </c>
    </row>
    <row r="703" spans="1:2" x14ac:dyDescent="0.35">
      <c r="A703" s="8">
        <v>700</v>
      </c>
      <c r="B703" s="6">
        <v>-1624798.5691910516</v>
      </c>
    </row>
    <row r="704" spans="1:2" x14ac:dyDescent="0.35">
      <c r="A704" s="8">
        <v>701</v>
      </c>
      <c r="B704" s="6">
        <v>1670207.5717445423</v>
      </c>
    </row>
    <row r="705" spans="1:2" x14ac:dyDescent="0.35">
      <c r="A705" s="8">
        <v>702</v>
      </c>
      <c r="B705" s="6">
        <v>1581553.7395014856</v>
      </c>
    </row>
    <row r="706" spans="1:2" x14ac:dyDescent="0.35">
      <c r="A706" s="8">
        <v>703</v>
      </c>
      <c r="B706" s="6">
        <v>2434460.9882408101</v>
      </c>
    </row>
    <row r="707" spans="1:2" x14ac:dyDescent="0.35">
      <c r="A707" s="8">
        <v>704</v>
      </c>
      <c r="B707" s="6">
        <v>1158049.097821427</v>
      </c>
    </row>
    <row r="708" spans="1:2" x14ac:dyDescent="0.35">
      <c r="A708" s="8">
        <v>705</v>
      </c>
      <c r="B708" s="6">
        <v>1745315.3548598995</v>
      </c>
    </row>
    <row r="709" spans="1:2" x14ac:dyDescent="0.35">
      <c r="A709" s="8">
        <v>706</v>
      </c>
      <c r="B709" s="6">
        <v>1752731.8470835909</v>
      </c>
    </row>
    <row r="710" spans="1:2" x14ac:dyDescent="0.35">
      <c r="A710" s="8">
        <v>707</v>
      </c>
      <c r="B710" s="6">
        <v>1322226.2015327874</v>
      </c>
    </row>
    <row r="711" spans="1:2" x14ac:dyDescent="0.35">
      <c r="A711" s="8">
        <v>708</v>
      </c>
      <c r="B711" s="6">
        <v>2289659.4428057051</v>
      </c>
    </row>
    <row r="712" spans="1:2" x14ac:dyDescent="0.35">
      <c r="A712" s="8">
        <v>709</v>
      </c>
      <c r="B712" s="6">
        <v>1259808.0579691255</v>
      </c>
    </row>
    <row r="713" spans="1:2" x14ac:dyDescent="0.35">
      <c r="A713" s="8">
        <v>710</v>
      </c>
      <c r="B713" s="6">
        <v>1686973.6175789451</v>
      </c>
    </row>
    <row r="714" spans="1:2" x14ac:dyDescent="0.35">
      <c r="A714" s="8">
        <v>711</v>
      </c>
      <c r="B714" s="6">
        <v>1031126.808749496</v>
      </c>
    </row>
    <row r="715" spans="1:2" x14ac:dyDescent="0.35">
      <c r="A715" s="8">
        <v>712</v>
      </c>
      <c r="B715" s="6">
        <v>1768350.6493315427</v>
      </c>
    </row>
    <row r="716" spans="1:2" x14ac:dyDescent="0.35">
      <c r="A716" s="8">
        <v>713</v>
      </c>
      <c r="B716" s="6">
        <v>1804091.40251641</v>
      </c>
    </row>
    <row r="717" spans="1:2" x14ac:dyDescent="0.35">
      <c r="A717" s="8">
        <v>714</v>
      </c>
      <c r="B717" s="6">
        <v>1526277.4199995359</v>
      </c>
    </row>
    <row r="718" spans="1:2" x14ac:dyDescent="0.35">
      <c r="A718" s="8">
        <v>715</v>
      </c>
      <c r="B718" s="6">
        <v>1130360.4651611187</v>
      </c>
    </row>
    <row r="719" spans="1:2" x14ac:dyDescent="0.35">
      <c r="A719" s="8">
        <v>716</v>
      </c>
      <c r="B719" s="6">
        <v>1843056.8096212689</v>
      </c>
    </row>
    <row r="720" spans="1:2" x14ac:dyDescent="0.35">
      <c r="A720" s="8">
        <v>717</v>
      </c>
      <c r="B720" s="6">
        <v>1702925.3957601062</v>
      </c>
    </row>
    <row r="721" spans="1:2" x14ac:dyDescent="0.35">
      <c r="A721" s="8">
        <v>718</v>
      </c>
      <c r="B721" s="6">
        <v>2543094.6968289595</v>
      </c>
    </row>
    <row r="722" spans="1:2" x14ac:dyDescent="0.35">
      <c r="A722" s="8">
        <v>719</v>
      </c>
      <c r="B722" s="6">
        <v>1200702.3347049002</v>
      </c>
    </row>
    <row r="723" spans="1:2" x14ac:dyDescent="0.35">
      <c r="A723" s="8">
        <v>720</v>
      </c>
      <c r="B723" s="6">
        <v>2422006.8319089795</v>
      </c>
    </row>
    <row r="724" spans="1:2" x14ac:dyDescent="0.35">
      <c r="A724" s="8">
        <v>721</v>
      </c>
      <c r="B724" s="6">
        <v>1600862.2055572756</v>
      </c>
    </row>
    <row r="725" spans="1:2" x14ac:dyDescent="0.35">
      <c r="A725" s="8">
        <v>722</v>
      </c>
      <c r="B725" s="6">
        <v>2291039.2001939705</v>
      </c>
    </row>
    <row r="726" spans="1:2" x14ac:dyDescent="0.35">
      <c r="A726" s="8">
        <v>723</v>
      </c>
      <c r="B726" s="6">
        <v>832805.17301554</v>
      </c>
    </row>
    <row r="727" spans="1:2" x14ac:dyDescent="0.35">
      <c r="A727" s="8">
        <v>724</v>
      </c>
      <c r="B727" s="6">
        <v>1515391.5637199041</v>
      </c>
    </row>
    <row r="728" spans="1:2" x14ac:dyDescent="0.35">
      <c r="A728" s="8">
        <v>725</v>
      </c>
      <c r="B728" s="6">
        <v>3299782.2515128027</v>
      </c>
    </row>
    <row r="729" spans="1:2" x14ac:dyDescent="0.35">
      <c r="A729" s="8">
        <v>726</v>
      </c>
      <c r="B729" s="6">
        <v>1903821.6340176319</v>
      </c>
    </row>
    <row r="730" spans="1:2" x14ac:dyDescent="0.35">
      <c r="A730" s="8">
        <v>727</v>
      </c>
      <c r="B730" s="6">
        <v>1226859.3306569483</v>
      </c>
    </row>
    <row r="731" spans="1:2" x14ac:dyDescent="0.35">
      <c r="A731" s="8">
        <v>728</v>
      </c>
      <c r="B731" s="6">
        <v>1883293.8628307974</v>
      </c>
    </row>
    <row r="732" spans="1:2" x14ac:dyDescent="0.35">
      <c r="A732" s="8">
        <v>729</v>
      </c>
      <c r="B732" s="6">
        <v>1829556.7626850025</v>
      </c>
    </row>
    <row r="733" spans="1:2" x14ac:dyDescent="0.35">
      <c r="A733" s="8">
        <v>730</v>
      </c>
      <c r="B733" s="6">
        <v>2648699.1552882218</v>
      </c>
    </row>
    <row r="734" spans="1:2" x14ac:dyDescent="0.35">
      <c r="A734" s="8">
        <v>731</v>
      </c>
      <c r="B734" s="6">
        <v>2442548.5484410515</v>
      </c>
    </row>
    <row r="735" spans="1:2" x14ac:dyDescent="0.35">
      <c r="A735" s="8">
        <v>732</v>
      </c>
      <c r="B735" s="6">
        <v>1937214.3154982855</v>
      </c>
    </row>
    <row r="736" spans="1:2" x14ac:dyDescent="0.35">
      <c r="A736" s="8">
        <v>733</v>
      </c>
      <c r="B736" s="6">
        <v>1171658.3450134862</v>
      </c>
    </row>
    <row r="737" spans="1:2" x14ac:dyDescent="0.35">
      <c r="A737" s="8">
        <v>734</v>
      </c>
      <c r="B737" s="6">
        <v>1198321.5062511014</v>
      </c>
    </row>
    <row r="738" spans="1:2" x14ac:dyDescent="0.35">
      <c r="A738" s="8">
        <v>735</v>
      </c>
      <c r="B738" s="6">
        <v>1382042.1400097329</v>
      </c>
    </row>
    <row r="739" spans="1:2" x14ac:dyDescent="0.35">
      <c r="A739" s="8">
        <v>736</v>
      </c>
      <c r="B739" s="6">
        <v>1397522.7884168942</v>
      </c>
    </row>
    <row r="740" spans="1:2" x14ac:dyDescent="0.35">
      <c r="A740" s="8">
        <v>737</v>
      </c>
      <c r="B740" s="6">
        <v>2427613.4425617992</v>
      </c>
    </row>
    <row r="741" spans="1:2" x14ac:dyDescent="0.35">
      <c r="A741" s="8">
        <v>738</v>
      </c>
      <c r="B741" s="6">
        <v>1785576.2505267279</v>
      </c>
    </row>
    <row r="742" spans="1:2" x14ac:dyDescent="0.35">
      <c r="A742" s="8">
        <v>739</v>
      </c>
      <c r="B742" s="6">
        <v>1170555.4231786071</v>
      </c>
    </row>
    <row r="743" spans="1:2" x14ac:dyDescent="0.35">
      <c r="A743" s="8">
        <v>740</v>
      </c>
      <c r="B743" s="6">
        <v>1278112.1469658078</v>
      </c>
    </row>
    <row r="744" spans="1:2" x14ac:dyDescent="0.35">
      <c r="A744" s="8">
        <v>741</v>
      </c>
      <c r="B744" s="6">
        <v>2088548.5221959858</v>
      </c>
    </row>
    <row r="745" spans="1:2" x14ac:dyDescent="0.35">
      <c r="A745" s="8">
        <v>742</v>
      </c>
      <c r="B745" s="6">
        <v>2153363.1545640551</v>
      </c>
    </row>
    <row r="746" spans="1:2" x14ac:dyDescent="0.35">
      <c r="A746" s="8">
        <v>743</v>
      </c>
      <c r="B746" s="6">
        <v>1137470.7823398078</v>
      </c>
    </row>
    <row r="747" spans="1:2" x14ac:dyDescent="0.35">
      <c r="A747" s="8">
        <v>744</v>
      </c>
      <c r="B747" s="6">
        <v>1693422.6020831987</v>
      </c>
    </row>
    <row r="748" spans="1:2" x14ac:dyDescent="0.35">
      <c r="A748" s="8">
        <v>745</v>
      </c>
      <c r="B748" s="6">
        <v>1257322.6523793326</v>
      </c>
    </row>
    <row r="749" spans="1:2" x14ac:dyDescent="0.35">
      <c r="A749" s="8">
        <v>746</v>
      </c>
      <c r="B749" s="6">
        <v>1479858.4656370229</v>
      </c>
    </row>
    <row r="750" spans="1:2" x14ac:dyDescent="0.35">
      <c r="A750" s="8">
        <v>747</v>
      </c>
      <c r="B750" s="6">
        <v>1707000.6702708937</v>
      </c>
    </row>
    <row r="751" spans="1:2" x14ac:dyDescent="0.35">
      <c r="A751" s="8">
        <v>748</v>
      </c>
      <c r="B751" s="6">
        <v>1420217.2332791502</v>
      </c>
    </row>
    <row r="752" spans="1:2" x14ac:dyDescent="0.35">
      <c r="A752" s="8">
        <v>749</v>
      </c>
      <c r="B752" s="6">
        <v>1284688.5670778723</v>
      </c>
    </row>
    <row r="753" spans="1:2" x14ac:dyDescent="0.35">
      <c r="A753" s="8">
        <v>750</v>
      </c>
      <c r="B753" s="6">
        <v>2849739.458265515</v>
      </c>
    </row>
    <row r="754" spans="1:2" x14ac:dyDescent="0.35">
      <c r="A754" s="8">
        <v>751</v>
      </c>
      <c r="B754" s="6">
        <v>2996601.3276335476</v>
      </c>
    </row>
    <row r="755" spans="1:2" x14ac:dyDescent="0.35">
      <c r="A755" s="8">
        <v>752</v>
      </c>
      <c r="B755" s="6">
        <v>1511063.9358108018</v>
      </c>
    </row>
    <row r="756" spans="1:2" x14ac:dyDescent="0.35">
      <c r="A756" s="8">
        <v>753</v>
      </c>
      <c r="B756" s="6">
        <v>2959681.2564859944</v>
      </c>
    </row>
    <row r="757" spans="1:2" x14ac:dyDescent="0.35">
      <c r="A757" s="8">
        <v>754</v>
      </c>
      <c r="B757" s="6">
        <v>1570762.6769285263</v>
      </c>
    </row>
    <row r="758" spans="1:2" x14ac:dyDescent="0.35">
      <c r="A758" s="8">
        <v>755</v>
      </c>
      <c r="B758" s="6">
        <v>1839929.0783182601</v>
      </c>
    </row>
    <row r="759" spans="1:2" x14ac:dyDescent="0.35">
      <c r="A759" s="8">
        <v>756</v>
      </c>
      <c r="B759" s="6">
        <v>1176111.6608665565</v>
      </c>
    </row>
    <row r="760" spans="1:2" x14ac:dyDescent="0.35">
      <c r="A760" s="8">
        <v>757</v>
      </c>
      <c r="B760" s="6">
        <v>2042969.4477278141</v>
      </c>
    </row>
    <row r="761" spans="1:2" x14ac:dyDescent="0.35">
      <c r="A761" s="8">
        <v>758</v>
      </c>
      <c r="B761" s="6">
        <v>1078416.6158456772</v>
      </c>
    </row>
    <row r="762" spans="1:2" x14ac:dyDescent="0.35">
      <c r="A762" s="8">
        <v>759</v>
      </c>
      <c r="B762" s="6">
        <v>2432610.8590246062</v>
      </c>
    </row>
    <row r="763" spans="1:2" x14ac:dyDescent="0.35">
      <c r="A763" s="8">
        <v>760</v>
      </c>
      <c r="B763" s="6">
        <v>2048506.148884089</v>
      </c>
    </row>
    <row r="764" spans="1:2" x14ac:dyDescent="0.35">
      <c r="A764" s="8">
        <v>761</v>
      </c>
      <c r="B764" s="6">
        <v>2073196.273167823</v>
      </c>
    </row>
    <row r="765" spans="1:2" x14ac:dyDescent="0.35">
      <c r="A765" s="8">
        <v>762</v>
      </c>
      <c r="B765" s="6">
        <v>1625540.1118897884</v>
      </c>
    </row>
    <row r="766" spans="1:2" x14ac:dyDescent="0.35">
      <c r="A766" s="8">
        <v>763</v>
      </c>
      <c r="B766" s="6">
        <v>1313353.6954178661</v>
      </c>
    </row>
    <row r="767" spans="1:2" x14ac:dyDescent="0.35">
      <c r="A767" s="8">
        <v>764</v>
      </c>
      <c r="B767" s="6">
        <v>1462772.91040981</v>
      </c>
    </row>
    <row r="768" spans="1:2" x14ac:dyDescent="0.35">
      <c r="A768" s="8">
        <v>765</v>
      </c>
      <c r="B768" s="6">
        <v>1647312.3634837912</v>
      </c>
    </row>
    <row r="769" spans="1:2" x14ac:dyDescent="0.35">
      <c r="A769" s="8">
        <v>766</v>
      </c>
      <c r="B769" s="6">
        <v>1891647.3794063046</v>
      </c>
    </row>
    <row r="770" spans="1:2" x14ac:dyDescent="0.35">
      <c r="A770" s="8">
        <v>767</v>
      </c>
      <c r="B770" s="6">
        <v>1477241.4882351591</v>
      </c>
    </row>
    <row r="771" spans="1:2" x14ac:dyDescent="0.35">
      <c r="A771" s="8">
        <v>768</v>
      </c>
      <c r="B771" s="6">
        <v>2246818.8533717729</v>
      </c>
    </row>
    <row r="772" spans="1:2" x14ac:dyDescent="0.35">
      <c r="A772" s="8">
        <v>769</v>
      </c>
      <c r="B772" s="6">
        <v>1111319.6385912322</v>
      </c>
    </row>
    <row r="773" spans="1:2" x14ac:dyDescent="0.35">
      <c r="A773" s="8">
        <v>770</v>
      </c>
      <c r="B773" s="6">
        <v>1258015.9895768641</v>
      </c>
    </row>
    <row r="774" spans="1:2" x14ac:dyDescent="0.35">
      <c r="A774" s="8">
        <v>771</v>
      </c>
      <c r="B774" s="6">
        <v>3271519.1219228236</v>
      </c>
    </row>
    <row r="775" spans="1:2" x14ac:dyDescent="0.35">
      <c r="A775" s="8">
        <v>772</v>
      </c>
      <c r="B775" s="6">
        <v>1490201.7026699153</v>
      </c>
    </row>
    <row r="776" spans="1:2" x14ac:dyDescent="0.35">
      <c r="A776" s="8">
        <v>773</v>
      </c>
      <c r="B776" s="6">
        <v>1269786.9015798736</v>
      </c>
    </row>
    <row r="777" spans="1:2" x14ac:dyDescent="0.35">
      <c r="A777" s="8">
        <v>774</v>
      </c>
      <c r="B777" s="6">
        <v>2629776.033190764</v>
      </c>
    </row>
    <row r="778" spans="1:2" x14ac:dyDescent="0.35">
      <c r="A778" s="8">
        <v>775</v>
      </c>
      <c r="B778" s="6">
        <v>2040926.7205711151</v>
      </c>
    </row>
    <row r="779" spans="1:2" x14ac:dyDescent="0.35">
      <c r="A779" s="8">
        <v>776</v>
      </c>
      <c r="B779" s="6">
        <v>1047010.8725422462</v>
      </c>
    </row>
    <row r="780" spans="1:2" x14ac:dyDescent="0.35">
      <c r="A780" s="8">
        <v>777</v>
      </c>
      <c r="B780" s="6">
        <v>1278206.0592708401</v>
      </c>
    </row>
    <row r="781" spans="1:2" x14ac:dyDescent="0.35">
      <c r="A781" s="8">
        <v>778</v>
      </c>
      <c r="B781" s="6">
        <v>2085654.2546370663</v>
      </c>
    </row>
    <row r="782" spans="1:2" x14ac:dyDescent="0.35">
      <c r="A782" s="8">
        <v>779</v>
      </c>
      <c r="B782" s="6">
        <v>1513930.1617489615</v>
      </c>
    </row>
    <row r="783" spans="1:2" x14ac:dyDescent="0.35">
      <c r="A783" s="8">
        <v>780</v>
      </c>
      <c r="B783" s="6">
        <v>1080342.3695709247</v>
      </c>
    </row>
    <row r="784" spans="1:2" x14ac:dyDescent="0.35">
      <c r="A784" s="8">
        <v>781</v>
      </c>
      <c r="B784" s="6">
        <v>1462893.2126496101</v>
      </c>
    </row>
    <row r="785" spans="1:2" x14ac:dyDescent="0.35">
      <c r="A785" s="8">
        <v>782</v>
      </c>
      <c r="B785" s="6">
        <v>2759220.9721085881</v>
      </c>
    </row>
    <row r="786" spans="1:2" x14ac:dyDescent="0.35">
      <c r="A786" s="8">
        <v>783</v>
      </c>
      <c r="B786" s="6">
        <v>3218281.9302156675</v>
      </c>
    </row>
    <row r="787" spans="1:2" x14ac:dyDescent="0.35">
      <c r="A787" s="8">
        <v>784</v>
      </c>
      <c r="B787" s="6">
        <v>2471113.816604428</v>
      </c>
    </row>
    <row r="788" spans="1:2" x14ac:dyDescent="0.35">
      <c r="A788" s="8">
        <v>785</v>
      </c>
      <c r="B788" s="6">
        <v>1780703.6932409005</v>
      </c>
    </row>
    <row r="789" spans="1:2" x14ac:dyDescent="0.35">
      <c r="A789" s="8">
        <v>786</v>
      </c>
      <c r="B789" s="6">
        <v>1882702.5581671163</v>
      </c>
    </row>
    <row r="790" spans="1:2" x14ac:dyDescent="0.35">
      <c r="A790" s="8">
        <v>787</v>
      </c>
      <c r="B790" s="6">
        <v>1591377.8330334029</v>
      </c>
    </row>
    <row r="791" spans="1:2" x14ac:dyDescent="0.35">
      <c r="A791" s="8">
        <v>788</v>
      </c>
      <c r="B791" s="6">
        <v>1166162.3446611315</v>
      </c>
    </row>
    <row r="792" spans="1:2" x14ac:dyDescent="0.35">
      <c r="A792" s="8">
        <v>789</v>
      </c>
      <c r="B792" s="6">
        <v>878295.77631455474</v>
      </c>
    </row>
    <row r="793" spans="1:2" x14ac:dyDescent="0.35">
      <c r="A793" s="8">
        <v>790</v>
      </c>
      <c r="B793" s="6">
        <v>1051856.053743755</v>
      </c>
    </row>
    <row r="794" spans="1:2" x14ac:dyDescent="0.35">
      <c r="A794" s="8">
        <v>791</v>
      </c>
      <c r="B794" s="6">
        <v>1277890.8925767445</v>
      </c>
    </row>
    <row r="795" spans="1:2" x14ac:dyDescent="0.35">
      <c r="A795" s="8">
        <v>792</v>
      </c>
      <c r="B795" s="6">
        <v>2109332.2172262622</v>
      </c>
    </row>
    <row r="796" spans="1:2" x14ac:dyDescent="0.35">
      <c r="A796" s="8">
        <v>793</v>
      </c>
      <c r="B796" s="6">
        <v>1915240.2684327434</v>
      </c>
    </row>
    <row r="797" spans="1:2" x14ac:dyDescent="0.35">
      <c r="A797" s="8">
        <v>794</v>
      </c>
      <c r="B797" s="6">
        <v>1458853.281721611</v>
      </c>
    </row>
    <row r="798" spans="1:2" x14ac:dyDescent="0.35">
      <c r="A798" s="8">
        <v>795</v>
      </c>
      <c r="B798" s="6">
        <v>1238207.2471266915</v>
      </c>
    </row>
    <row r="799" spans="1:2" x14ac:dyDescent="0.35">
      <c r="A799" s="8">
        <v>796</v>
      </c>
      <c r="B799" s="6">
        <v>1991080.7140893172</v>
      </c>
    </row>
    <row r="800" spans="1:2" x14ac:dyDescent="0.35">
      <c r="A800" s="8">
        <v>797</v>
      </c>
      <c r="B800" s="6">
        <v>1926868.7155433071</v>
      </c>
    </row>
    <row r="801" spans="1:2" x14ac:dyDescent="0.35">
      <c r="A801" s="8">
        <v>798</v>
      </c>
      <c r="B801" s="6">
        <v>1140865.2132270522</v>
      </c>
    </row>
    <row r="802" spans="1:2" x14ac:dyDescent="0.35">
      <c r="A802" s="8">
        <v>799</v>
      </c>
      <c r="B802" s="6">
        <v>1784989.135956395</v>
      </c>
    </row>
    <row r="803" spans="1:2" x14ac:dyDescent="0.35">
      <c r="A803" s="8">
        <v>800</v>
      </c>
      <c r="B803" s="6">
        <v>1991426.3827793235</v>
      </c>
    </row>
    <row r="804" spans="1:2" x14ac:dyDescent="0.35">
      <c r="A804" s="8">
        <v>801</v>
      </c>
      <c r="B804" s="6">
        <v>999225.30672327266</v>
      </c>
    </row>
    <row r="805" spans="1:2" x14ac:dyDescent="0.35">
      <c r="A805" s="8">
        <v>802</v>
      </c>
      <c r="B805" s="6">
        <v>1322235.1502293628</v>
      </c>
    </row>
    <row r="806" spans="1:2" x14ac:dyDescent="0.35">
      <c r="A806" s="8">
        <v>803</v>
      </c>
      <c r="B806" s="6">
        <v>1794216.6164766224</v>
      </c>
    </row>
    <row r="807" spans="1:2" x14ac:dyDescent="0.35">
      <c r="A807" s="8">
        <v>804</v>
      </c>
      <c r="B807" s="6">
        <v>2191542.5455537122</v>
      </c>
    </row>
    <row r="808" spans="1:2" x14ac:dyDescent="0.35">
      <c r="A808" s="8">
        <v>805</v>
      </c>
      <c r="B808" s="6">
        <v>2602869.0444359072</v>
      </c>
    </row>
    <row r="809" spans="1:2" x14ac:dyDescent="0.35">
      <c r="A809" s="8">
        <v>806</v>
      </c>
      <c r="B809" s="6">
        <v>1221726.3486346782</v>
      </c>
    </row>
    <row r="810" spans="1:2" x14ac:dyDescent="0.35">
      <c r="A810" s="8">
        <v>807</v>
      </c>
      <c r="B810" s="6">
        <v>1936051.6099696476</v>
      </c>
    </row>
    <row r="811" spans="1:2" x14ac:dyDescent="0.35">
      <c r="A811" s="8">
        <v>808</v>
      </c>
      <c r="B811" s="6">
        <v>1356027.3690949967</v>
      </c>
    </row>
    <row r="812" spans="1:2" x14ac:dyDescent="0.35">
      <c r="A812" s="8">
        <v>809</v>
      </c>
      <c r="B812" s="6">
        <v>2316570.7798827849</v>
      </c>
    </row>
    <row r="813" spans="1:2" x14ac:dyDescent="0.35">
      <c r="A813" s="8">
        <v>810</v>
      </c>
      <c r="B813" s="6">
        <v>1737464.3757962286</v>
      </c>
    </row>
    <row r="814" spans="1:2" x14ac:dyDescent="0.35">
      <c r="A814" s="8">
        <v>811</v>
      </c>
      <c r="B814" s="6">
        <v>1165472.3929707031</v>
      </c>
    </row>
    <row r="815" spans="1:2" x14ac:dyDescent="0.35">
      <c r="A815" s="8">
        <v>812</v>
      </c>
      <c r="B815" s="6">
        <v>1263281.5038852775</v>
      </c>
    </row>
    <row r="816" spans="1:2" x14ac:dyDescent="0.35">
      <c r="A816" s="8">
        <v>813</v>
      </c>
      <c r="B816" s="6">
        <v>1230049.878507439</v>
      </c>
    </row>
    <row r="817" spans="1:2" x14ac:dyDescent="0.35">
      <c r="A817" s="8">
        <v>814</v>
      </c>
      <c r="B817" s="6">
        <v>1220854.4404808367</v>
      </c>
    </row>
    <row r="818" spans="1:2" x14ac:dyDescent="0.35">
      <c r="A818" s="8">
        <v>815</v>
      </c>
      <c r="B818" s="6">
        <v>884084.69938520307</v>
      </c>
    </row>
    <row r="819" spans="1:2" x14ac:dyDescent="0.35">
      <c r="A819" s="8">
        <v>816</v>
      </c>
      <c r="B819" s="6">
        <v>498508.26174340991</v>
      </c>
    </row>
    <row r="820" spans="1:2" x14ac:dyDescent="0.35">
      <c r="A820" s="8">
        <v>817</v>
      </c>
      <c r="B820" s="6">
        <v>1430677.4291779632</v>
      </c>
    </row>
    <row r="821" spans="1:2" x14ac:dyDescent="0.35">
      <c r="A821" s="8">
        <v>818</v>
      </c>
      <c r="B821" s="6">
        <v>2575071.5927580334</v>
      </c>
    </row>
    <row r="822" spans="1:2" x14ac:dyDescent="0.35">
      <c r="A822" s="8">
        <v>819</v>
      </c>
      <c r="B822" s="6">
        <v>1007648.7470124458</v>
      </c>
    </row>
    <row r="823" spans="1:2" x14ac:dyDescent="0.35">
      <c r="A823" s="8">
        <v>820</v>
      </c>
      <c r="B823" s="6">
        <v>1785603.9212412005</v>
      </c>
    </row>
    <row r="824" spans="1:2" x14ac:dyDescent="0.35">
      <c r="A824" s="8">
        <v>821</v>
      </c>
      <c r="B824" s="6">
        <v>1342979.2150451927</v>
      </c>
    </row>
    <row r="825" spans="1:2" x14ac:dyDescent="0.35">
      <c r="A825" s="8">
        <v>822</v>
      </c>
      <c r="B825" s="6">
        <v>1444689.284305925</v>
      </c>
    </row>
    <row r="826" spans="1:2" x14ac:dyDescent="0.35">
      <c r="A826" s="8">
        <v>823</v>
      </c>
      <c r="B826" s="6">
        <v>1347560.1350511957</v>
      </c>
    </row>
    <row r="827" spans="1:2" x14ac:dyDescent="0.35">
      <c r="A827" s="8">
        <v>824</v>
      </c>
      <c r="B827" s="6">
        <v>1606784.4344114885</v>
      </c>
    </row>
    <row r="828" spans="1:2" x14ac:dyDescent="0.35">
      <c r="A828" s="8">
        <v>825</v>
      </c>
      <c r="B828" s="6">
        <v>1271444.4273794007</v>
      </c>
    </row>
    <row r="829" spans="1:2" x14ac:dyDescent="0.35">
      <c r="A829" s="8">
        <v>826</v>
      </c>
      <c r="B829" s="6">
        <v>1874781.7068412383</v>
      </c>
    </row>
    <row r="830" spans="1:2" x14ac:dyDescent="0.35">
      <c r="A830" s="8">
        <v>827</v>
      </c>
      <c r="B830" s="6">
        <v>1884199.8982202301</v>
      </c>
    </row>
    <row r="831" spans="1:2" x14ac:dyDescent="0.35">
      <c r="A831" s="8">
        <v>828</v>
      </c>
      <c r="B831" s="6">
        <v>2657188.8798978454</v>
      </c>
    </row>
    <row r="832" spans="1:2" x14ac:dyDescent="0.35">
      <c r="A832" s="8">
        <v>829</v>
      </c>
      <c r="B832" s="6">
        <v>1315915.0901904381</v>
      </c>
    </row>
    <row r="833" spans="1:2" x14ac:dyDescent="0.35">
      <c r="A833" s="8">
        <v>830</v>
      </c>
      <c r="B833" s="6">
        <v>2119630.7149801333</v>
      </c>
    </row>
    <row r="834" spans="1:2" x14ac:dyDescent="0.35">
      <c r="A834" s="8">
        <v>831</v>
      </c>
      <c r="B834" s="6">
        <v>2027309.2274279071</v>
      </c>
    </row>
    <row r="835" spans="1:2" x14ac:dyDescent="0.35">
      <c r="A835" s="8">
        <v>832</v>
      </c>
      <c r="B835" s="6">
        <v>1698935.5856913347</v>
      </c>
    </row>
    <row r="836" spans="1:2" x14ac:dyDescent="0.35">
      <c r="A836" s="8">
        <v>833</v>
      </c>
      <c r="B836" s="6">
        <v>1896432.5577356271</v>
      </c>
    </row>
    <row r="837" spans="1:2" x14ac:dyDescent="0.35">
      <c r="A837" s="8">
        <v>834</v>
      </c>
      <c r="B837" s="6">
        <v>931409.52081905841</v>
      </c>
    </row>
    <row r="838" spans="1:2" x14ac:dyDescent="0.35">
      <c r="A838" s="8">
        <v>835</v>
      </c>
      <c r="B838" s="6">
        <v>2144902.1413941225</v>
      </c>
    </row>
    <row r="839" spans="1:2" x14ac:dyDescent="0.35">
      <c r="A839" s="8">
        <v>836</v>
      </c>
      <c r="B839" s="6">
        <v>1345172.6128950524</v>
      </c>
    </row>
    <row r="840" spans="1:2" x14ac:dyDescent="0.35">
      <c r="A840" s="8">
        <v>837</v>
      </c>
      <c r="B840" s="6">
        <v>2070868.4010600019</v>
      </c>
    </row>
    <row r="841" spans="1:2" x14ac:dyDescent="0.35">
      <c r="A841" s="8">
        <v>838</v>
      </c>
      <c r="B841" s="6">
        <v>1464899.6915749398</v>
      </c>
    </row>
    <row r="842" spans="1:2" x14ac:dyDescent="0.35">
      <c r="A842" s="8">
        <v>839</v>
      </c>
      <c r="B842" s="6">
        <v>2202363.2070148634</v>
      </c>
    </row>
    <row r="843" spans="1:2" x14ac:dyDescent="0.35">
      <c r="A843" s="8">
        <v>840</v>
      </c>
      <c r="B843" s="6">
        <v>1811255.0885378965</v>
      </c>
    </row>
    <row r="844" spans="1:2" x14ac:dyDescent="0.35">
      <c r="A844" s="8">
        <v>841</v>
      </c>
      <c r="B844" s="6">
        <v>903358.26986212155</v>
      </c>
    </row>
    <row r="845" spans="1:2" x14ac:dyDescent="0.35">
      <c r="A845" s="8">
        <v>842</v>
      </c>
      <c r="B845" s="6">
        <v>869266.94653997268</v>
      </c>
    </row>
    <row r="846" spans="1:2" x14ac:dyDescent="0.35">
      <c r="A846" s="8">
        <v>843</v>
      </c>
      <c r="B846" s="6">
        <v>2186943.0364920306</v>
      </c>
    </row>
    <row r="847" spans="1:2" x14ac:dyDescent="0.35">
      <c r="A847" s="8">
        <v>844</v>
      </c>
      <c r="B847" s="6">
        <v>2524212.2899707952</v>
      </c>
    </row>
    <row r="848" spans="1:2" x14ac:dyDescent="0.35">
      <c r="A848" s="8">
        <v>845</v>
      </c>
      <c r="B848" s="6">
        <v>1297915.8199776569</v>
      </c>
    </row>
    <row r="849" spans="1:2" x14ac:dyDescent="0.35">
      <c r="A849" s="8">
        <v>846</v>
      </c>
      <c r="B849" s="6">
        <v>1993180.1277129976</v>
      </c>
    </row>
    <row r="850" spans="1:2" x14ac:dyDescent="0.35">
      <c r="A850" s="8">
        <v>847</v>
      </c>
      <c r="B850" s="6">
        <v>3084743.6444755103</v>
      </c>
    </row>
    <row r="851" spans="1:2" x14ac:dyDescent="0.35">
      <c r="A851" s="8">
        <v>848</v>
      </c>
      <c r="B851" s="6">
        <v>1885203.0298087683</v>
      </c>
    </row>
    <row r="852" spans="1:2" x14ac:dyDescent="0.35">
      <c r="A852" s="8">
        <v>849</v>
      </c>
      <c r="B852" s="6">
        <v>1632812.1895660972</v>
      </c>
    </row>
    <row r="853" spans="1:2" x14ac:dyDescent="0.35">
      <c r="A853" s="8">
        <v>850</v>
      </c>
      <c r="B853" s="6">
        <v>2108410.3700301633</v>
      </c>
    </row>
    <row r="854" spans="1:2" x14ac:dyDescent="0.35">
      <c r="A854" s="8">
        <v>851</v>
      </c>
      <c r="B854" s="6">
        <v>1738476.1459167586</v>
      </c>
    </row>
    <row r="855" spans="1:2" x14ac:dyDescent="0.35">
      <c r="A855" s="8">
        <v>852</v>
      </c>
      <c r="B855" s="6">
        <v>1903999.0083281619</v>
      </c>
    </row>
    <row r="856" spans="1:2" x14ac:dyDescent="0.35">
      <c r="A856" s="8">
        <v>853</v>
      </c>
      <c r="B856" s="6">
        <v>1430626.1792723958</v>
      </c>
    </row>
    <row r="857" spans="1:2" x14ac:dyDescent="0.35">
      <c r="A857" s="8">
        <v>854</v>
      </c>
      <c r="B857" s="6">
        <v>1437417.0599678941</v>
      </c>
    </row>
    <row r="858" spans="1:2" x14ac:dyDescent="0.35">
      <c r="A858" s="8">
        <v>855</v>
      </c>
      <c r="B858" s="6">
        <v>977983.87708317966</v>
      </c>
    </row>
    <row r="859" spans="1:2" x14ac:dyDescent="0.35">
      <c r="A859" s="8">
        <v>856</v>
      </c>
      <c r="B859" s="6">
        <v>1650776.5282954387</v>
      </c>
    </row>
    <row r="860" spans="1:2" x14ac:dyDescent="0.35">
      <c r="A860" s="8">
        <v>857</v>
      </c>
      <c r="B860" s="6">
        <v>1444187.3465320379</v>
      </c>
    </row>
    <row r="861" spans="1:2" x14ac:dyDescent="0.35">
      <c r="A861" s="8">
        <v>858</v>
      </c>
      <c r="B861" s="6">
        <v>1146625.4417712996</v>
      </c>
    </row>
    <row r="862" spans="1:2" x14ac:dyDescent="0.35">
      <c r="A862" s="8">
        <v>859</v>
      </c>
      <c r="B862" s="6">
        <v>1837395.3657776108</v>
      </c>
    </row>
    <row r="863" spans="1:2" x14ac:dyDescent="0.35">
      <c r="A863" s="8">
        <v>860</v>
      </c>
      <c r="B863" s="6">
        <v>1087652.9105879229</v>
      </c>
    </row>
    <row r="864" spans="1:2" x14ac:dyDescent="0.35">
      <c r="A864" s="8">
        <v>861</v>
      </c>
      <c r="B864" s="6">
        <v>1502507.0922258846</v>
      </c>
    </row>
    <row r="865" spans="1:2" x14ac:dyDescent="0.35">
      <c r="A865" s="8">
        <v>862</v>
      </c>
      <c r="B865" s="6">
        <v>1305290.5329043223</v>
      </c>
    </row>
    <row r="866" spans="1:2" x14ac:dyDescent="0.35">
      <c r="A866" s="8">
        <v>863</v>
      </c>
      <c r="B866" s="6">
        <v>2061646.0135485139</v>
      </c>
    </row>
    <row r="867" spans="1:2" x14ac:dyDescent="0.35">
      <c r="A867" s="8">
        <v>864</v>
      </c>
      <c r="B867" s="6">
        <v>1466279.0379032043</v>
      </c>
    </row>
    <row r="868" spans="1:2" x14ac:dyDescent="0.35">
      <c r="A868" s="8">
        <v>865</v>
      </c>
      <c r="B868" s="6">
        <v>2160968.5033669621</v>
      </c>
    </row>
    <row r="869" spans="1:2" x14ac:dyDescent="0.35">
      <c r="A869" s="8">
        <v>866</v>
      </c>
      <c r="B869" s="6">
        <v>948843.00373003434</v>
      </c>
    </row>
    <row r="870" spans="1:2" x14ac:dyDescent="0.35">
      <c r="A870" s="8">
        <v>867</v>
      </c>
      <c r="B870" s="6">
        <v>1592705.7366501179</v>
      </c>
    </row>
    <row r="871" spans="1:2" x14ac:dyDescent="0.35">
      <c r="A871" s="8">
        <v>868</v>
      </c>
      <c r="B871" s="6">
        <v>1383216.9523844223</v>
      </c>
    </row>
    <row r="872" spans="1:2" x14ac:dyDescent="0.35">
      <c r="A872" s="8">
        <v>869</v>
      </c>
      <c r="B872" s="6">
        <v>1729658.4193895629</v>
      </c>
    </row>
    <row r="873" spans="1:2" x14ac:dyDescent="0.35">
      <c r="A873" s="8">
        <v>870</v>
      </c>
      <c r="B873" s="6">
        <v>1070509.5780743426</v>
      </c>
    </row>
    <row r="874" spans="1:2" x14ac:dyDescent="0.35">
      <c r="A874" s="8">
        <v>871</v>
      </c>
      <c r="B874" s="6">
        <v>1636665.707593679</v>
      </c>
    </row>
    <row r="875" spans="1:2" x14ac:dyDescent="0.35">
      <c r="A875" s="8">
        <v>872</v>
      </c>
      <c r="B875" s="6">
        <v>1647655.115525831</v>
      </c>
    </row>
    <row r="876" spans="1:2" x14ac:dyDescent="0.35">
      <c r="A876" s="8">
        <v>873</v>
      </c>
      <c r="B876" s="6">
        <v>1373242.4097678531</v>
      </c>
    </row>
    <row r="877" spans="1:2" x14ac:dyDescent="0.35">
      <c r="A877" s="8">
        <v>874</v>
      </c>
      <c r="B877" s="6">
        <v>1151602.1266845432</v>
      </c>
    </row>
    <row r="878" spans="1:2" x14ac:dyDescent="0.35">
      <c r="A878" s="8">
        <v>875</v>
      </c>
      <c r="B878" s="6">
        <v>1509575.7093989695</v>
      </c>
    </row>
    <row r="879" spans="1:2" x14ac:dyDescent="0.35">
      <c r="A879" s="8">
        <v>876</v>
      </c>
      <c r="B879" s="6">
        <v>1788308.2919738262</v>
      </c>
    </row>
    <row r="880" spans="1:2" x14ac:dyDescent="0.35">
      <c r="A880" s="8">
        <v>877</v>
      </c>
      <c r="B880" s="6">
        <v>1563608.0084154138</v>
      </c>
    </row>
    <row r="881" spans="1:2" x14ac:dyDescent="0.35">
      <c r="A881" s="8">
        <v>878</v>
      </c>
      <c r="B881" s="6">
        <v>1899909.2611736294</v>
      </c>
    </row>
    <row r="882" spans="1:2" x14ac:dyDescent="0.35">
      <c r="A882" s="8">
        <v>879</v>
      </c>
      <c r="B882" s="6">
        <v>1869143.6999901207</v>
      </c>
    </row>
    <row r="883" spans="1:2" x14ac:dyDescent="0.35">
      <c r="A883" s="8">
        <v>880</v>
      </c>
      <c r="B883" s="6">
        <v>2483559.3433861253</v>
      </c>
    </row>
    <row r="884" spans="1:2" x14ac:dyDescent="0.35">
      <c r="A884" s="8">
        <v>881</v>
      </c>
      <c r="B884" s="6">
        <v>2248818.8027422102</v>
      </c>
    </row>
    <row r="885" spans="1:2" x14ac:dyDescent="0.35">
      <c r="A885" s="8">
        <v>882</v>
      </c>
      <c r="B885" s="6">
        <v>2004579.3049130314</v>
      </c>
    </row>
    <row r="886" spans="1:2" x14ac:dyDescent="0.35">
      <c r="A886" s="8">
        <v>883</v>
      </c>
      <c r="B886" s="6">
        <v>1481249.4639668355</v>
      </c>
    </row>
    <row r="887" spans="1:2" x14ac:dyDescent="0.35">
      <c r="A887" s="8">
        <v>884</v>
      </c>
      <c r="B887" s="6">
        <v>1864699.6070279605</v>
      </c>
    </row>
    <row r="888" spans="1:2" x14ac:dyDescent="0.35">
      <c r="A888" s="8">
        <v>885</v>
      </c>
      <c r="B888" s="6">
        <v>1132254.4179542167</v>
      </c>
    </row>
    <row r="889" spans="1:2" x14ac:dyDescent="0.35">
      <c r="A889" s="8">
        <v>886</v>
      </c>
      <c r="B889" s="6">
        <v>2105039.8332490055</v>
      </c>
    </row>
    <row r="890" spans="1:2" x14ac:dyDescent="0.35">
      <c r="A890" s="8">
        <v>887</v>
      </c>
      <c r="B890" s="6">
        <v>989460.50648299034</v>
      </c>
    </row>
    <row r="891" spans="1:2" x14ac:dyDescent="0.35">
      <c r="A891" s="8">
        <v>888</v>
      </c>
      <c r="B891" s="6">
        <v>2222097.0798657015</v>
      </c>
    </row>
    <row r="892" spans="1:2" x14ac:dyDescent="0.35">
      <c r="A892" s="8">
        <v>889</v>
      </c>
      <c r="B892" s="6">
        <v>1305614.6753872591</v>
      </c>
    </row>
    <row r="893" spans="1:2" x14ac:dyDescent="0.35">
      <c r="A893" s="8">
        <v>890</v>
      </c>
      <c r="B893" s="6">
        <v>2106857.9725491665</v>
      </c>
    </row>
    <row r="894" spans="1:2" x14ac:dyDescent="0.35">
      <c r="A894" s="8">
        <v>891</v>
      </c>
      <c r="B894" s="6">
        <v>3356671.4103437238</v>
      </c>
    </row>
    <row r="895" spans="1:2" x14ac:dyDescent="0.35">
      <c r="A895" s="8">
        <v>892</v>
      </c>
      <c r="B895" s="6">
        <v>1093495.0412258927</v>
      </c>
    </row>
    <row r="896" spans="1:2" x14ac:dyDescent="0.35">
      <c r="A896" s="8">
        <v>893</v>
      </c>
      <c r="B896" s="6">
        <v>1315042.982754678</v>
      </c>
    </row>
    <row r="897" spans="1:2" x14ac:dyDescent="0.35">
      <c r="A897" s="8">
        <v>894</v>
      </c>
      <c r="B897" s="6">
        <v>1982379.6216599357</v>
      </c>
    </row>
    <row r="898" spans="1:2" x14ac:dyDescent="0.35">
      <c r="A898" s="8">
        <v>895</v>
      </c>
      <c r="B898" s="6">
        <v>1615980.9090373116</v>
      </c>
    </row>
    <row r="899" spans="1:2" x14ac:dyDescent="0.35">
      <c r="A899" s="8">
        <v>896</v>
      </c>
      <c r="B899" s="6">
        <v>856567.87259875587</v>
      </c>
    </row>
    <row r="900" spans="1:2" x14ac:dyDescent="0.35">
      <c r="A900" s="8">
        <v>897</v>
      </c>
      <c r="B900" s="6">
        <v>1313590.8976414707</v>
      </c>
    </row>
    <row r="901" spans="1:2" x14ac:dyDescent="0.35">
      <c r="A901" s="8">
        <v>898</v>
      </c>
      <c r="B901" s="6">
        <v>1237598.9341108641</v>
      </c>
    </row>
    <row r="902" spans="1:2" x14ac:dyDescent="0.35">
      <c r="A902" s="8">
        <v>899</v>
      </c>
      <c r="B902" s="6">
        <v>1478630.5885735594</v>
      </c>
    </row>
    <row r="903" spans="1:2" x14ac:dyDescent="0.35">
      <c r="A903" s="8">
        <v>900</v>
      </c>
      <c r="B903" s="6">
        <v>1492381.6776564284</v>
      </c>
    </row>
    <row r="904" spans="1:2" x14ac:dyDescent="0.35">
      <c r="A904" s="8">
        <v>901</v>
      </c>
      <c r="B904" s="6">
        <v>1309748.4457844889</v>
      </c>
    </row>
    <row r="905" spans="1:2" x14ac:dyDescent="0.35">
      <c r="A905" s="8">
        <v>902</v>
      </c>
      <c r="B905" s="6">
        <v>1155033.2891315445</v>
      </c>
    </row>
    <row r="906" spans="1:2" x14ac:dyDescent="0.35">
      <c r="A906" s="8">
        <v>903</v>
      </c>
      <c r="B906" s="6">
        <v>1393658.0971534357</v>
      </c>
    </row>
    <row r="907" spans="1:2" x14ac:dyDescent="0.35">
      <c r="A907" s="8">
        <v>904</v>
      </c>
      <c r="B907" s="6">
        <v>1597385.3677064956</v>
      </c>
    </row>
    <row r="908" spans="1:2" x14ac:dyDescent="0.35">
      <c r="A908" s="8">
        <v>905</v>
      </c>
      <c r="B908" s="6">
        <v>2007787.8119151653</v>
      </c>
    </row>
    <row r="909" spans="1:2" x14ac:dyDescent="0.35">
      <c r="A909" s="8">
        <v>906</v>
      </c>
      <c r="B909" s="6">
        <v>1601140.4192717015</v>
      </c>
    </row>
    <row r="910" spans="1:2" x14ac:dyDescent="0.35">
      <c r="A910" s="8">
        <v>907</v>
      </c>
      <c r="B910" s="6">
        <v>2300536.2339812284</v>
      </c>
    </row>
    <row r="911" spans="1:2" x14ac:dyDescent="0.35">
      <c r="A911" s="8">
        <v>908</v>
      </c>
      <c r="B911" s="6">
        <v>1447873.3413441747</v>
      </c>
    </row>
    <row r="912" spans="1:2" x14ac:dyDescent="0.35">
      <c r="A912" s="8">
        <v>909</v>
      </c>
      <c r="B912" s="6">
        <v>1122165.6008599284</v>
      </c>
    </row>
    <row r="913" spans="1:2" x14ac:dyDescent="0.35">
      <c r="A913" s="8">
        <v>910</v>
      </c>
      <c r="B913" s="6">
        <v>1389782.0369067001</v>
      </c>
    </row>
    <row r="914" spans="1:2" x14ac:dyDescent="0.35">
      <c r="A914" s="8">
        <v>911</v>
      </c>
      <c r="B914" s="6">
        <v>1445563.8497480354</v>
      </c>
    </row>
    <row r="915" spans="1:2" x14ac:dyDescent="0.35">
      <c r="A915" s="8">
        <v>912</v>
      </c>
      <c r="B915" s="6">
        <v>1960033.3485211106</v>
      </c>
    </row>
    <row r="916" spans="1:2" x14ac:dyDescent="0.35">
      <c r="A916" s="8">
        <v>913</v>
      </c>
      <c r="B916" s="6">
        <v>1748277.0538594851</v>
      </c>
    </row>
    <row r="917" spans="1:2" x14ac:dyDescent="0.35">
      <c r="A917" s="8">
        <v>914</v>
      </c>
      <c r="B917" s="6">
        <v>1713748.329279315</v>
      </c>
    </row>
    <row r="918" spans="1:2" x14ac:dyDescent="0.35">
      <c r="A918" s="8">
        <v>915</v>
      </c>
      <c r="B918" s="6">
        <v>1654111.6281412679</v>
      </c>
    </row>
    <row r="919" spans="1:2" x14ac:dyDescent="0.35">
      <c r="A919" s="8">
        <v>916</v>
      </c>
      <c r="B919" s="6">
        <v>1398317.6255949805</v>
      </c>
    </row>
    <row r="920" spans="1:2" x14ac:dyDescent="0.35">
      <c r="A920" s="8">
        <v>917</v>
      </c>
      <c r="B920" s="6">
        <v>1323436.3124246099</v>
      </c>
    </row>
    <row r="921" spans="1:2" x14ac:dyDescent="0.35">
      <c r="A921" s="8">
        <v>918</v>
      </c>
      <c r="B921" s="6">
        <v>1290556.7304700469</v>
      </c>
    </row>
    <row r="922" spans="1:2" x14ac:dyDescent="0.35">
      <c r="A922" s="8">
        <v>919</v>
      </c>
      <c r="B922" s="6">
        <v>1860287.5319463124</v>
      </c>
    </row>
    <row r="923" spans="1:2" x14ac:dyDescent="0.35">
      <c r="A923" s="8">
        <v>920</v>
      </c>
      <c r="B923" s="6">
        <v>1643017.1744582069</v>
      </c>
    </row>
    <row r="924" spans="1:2" x14ac:dyDescent="0.35">
      <c r="A924" s="8">
        <v>921</v>
      </c>
      <c r="B924" s="6">
        <v>1026955.5997296382</v>
      </c>
    </row>
    <row r="925" spans="1:2" x14ac:dyDescent="0.35">
      <c r="A925" s="8">
        <v>922</v>
      </c>
      <c r="B925" s="6">
        <v>1387462.6941721458</v>
      </c>
    </row>
    <row r="926" spans="1:2" x14ac:dyDescent="0.35">
      <c r="A926" s="8">
        <v>923</v>
      </c>
      <c r="B926" s="6">
        <v>1226376.0194315573</v>
      </c>
    </row>
    <row r="927" spans="1:2" x14ac:dyDescent="0.35">
      <c r="A927" s="8">
        <v>924</v>
      </c>
      <c r="B927" s="6">
        <v>1244830.1385081585</v>
      </c>
    </row>
    <row r="928" spans="1:2" x14ac:dyDescent="0.35">
      <c r="A928" s="8">
        <v>925</v>
      </c>
      <c r="B928" s="6">
        <v>1328269.5998090378</v>
      </c>
    </row>
    <row r="929" spans="1:2" x14ac:dyDescent="0.35">
      <c r="A929" s="8">
        <v>926</v>
      </c>
      <c r="B929" s="6">
        <v>1913761.8798871727</v>
      </c>
    </row>
    <row r="930" spans="1:2" x14ac:dyDescent="0.35">
      <c r="A930" s="8">
        <v>927</v>
      </c>
      <c r="B930" s="6">
        <v>1707987.5625995852</v>
      </c>
    </row>
    <row r="931" spans="1:2" x14ac:dyDescent="0.35">
      <c r="A931" s="8">
        <v>928</v>
      </c>
      <c r="B931" s="6">
        <v>1342931.7532595485</v>
      </c>
    </row>
    <row r="932" spans="1:2" x14ac:dyDescent="0.35">
      <c r="A932" s="8">
        <v>929</v>
      </c>
      <c r="B932" s="6">
        <v>990979.66681866988</v>
      </c>
    </row>
    <row r="933" spans="1:2" x14ac:dyDescent="0.35">
      <c r="A933" s="8">
        <v>930</v>
      </c>
      <c r="B933" s="6">
        <v>1212029.3316254073</v>
      </c>
    </row>
    <row r="934" spans="1:2" x14ac:dyDescent="0.35">
      <c r="A934" s="8">
        <v>931</v>
      </c>
      <c r="B934" s="6">
        <v>2210469.8467254536</v>
      </c>
    </row>
    <row r="935" spans="1:2" x14ac:dyDescent="0.35">
      <c r="A935" s="8">
        <v>932</v>
      </c>
      <c r="B935" s="6">
        <v>1457786.8474905787</v>
      </c>
    </row>
    <row r="936" spans="1:2" x14ac:dyDescent="0.35">
      <c r="A936" s="8">
        <v>933</v>
      </c>
      <c r="B936" s="6">
        <v>1201275.0463941346</v>
      </c>
    </row>
    <row r="937" spans="1:2" x14ac:dyDescent="0.35">
      <c r="A937" s="8">
        <v>934</v>
      </c>
      <c r="B937" s="6">
        <v>2272305.4529626574</v>
      </c>
    </row>
    <row r="938" spans="1:2" x14ac:dyDescent="0.35">
      <c r="A938" s="8">
        <v>935</v>
      </c>
      <c r="B938" s="6">
        <v>1434707.1902046551</v>
      </c>
    </row>
    <row r="939" spans="1:2" x14ac:dyDescent="0.35">
      <c r="A939" s="8">
        <v>936</v>
      </c>
      <c r="B939" s="6">
        <v>1374041.9602723941</v>
      </c>
    </row>
    <row r="940" spans="1:2" x14ac:dyDescent="0.35">
      <c r="A940" s="8">
        <v>937</v>
      </c>
      <c r="B940" s="6">
        <v>1787840.4199527609</v>
      </c>
    </row>
    <row r="941" spans="1:2" x14ac:dyDescent="0.35">
      <c r="A941" s="8">
        <v>938</v>
      </c>
      <c r="B941" s="6">
        <v>994459.98224565177</v>
      </c>
    </row>
    <row r="942" spans="1:2" x14ac:dyDescent="0.35">
      <c r="A942" s="8">
        <v>939</v>
      </c>
      <c r="B942" s="6">
        <v>892731.19860059477</v>
      </c>
    </row>
    <row r="943" spans="1:2" x14ac:dyDescent="0.35">
      <c r="A943" s="8">
        <v>940</v>
      </c>
      <c r="B943" s="6">
        <v>1579436.4504903534</v>
      </c>
    </row>
    <row r="944" spans="1:2" x14ac:dyDescent="0.35">
      <c r="A944" s="8">
        <v>941</v>
      </c>
      <c r="B944" s="6">
        <v>1786595.0698699225</v>
      </c>
    </row>
    <row r="945" spans="1:2" x14ac:dyDescent="0.35">
      <c r="A945" s="8">
        <v>942</v>
      </c>
      <c r="B945" s="6">
        <v>1087152.3160952593</v>
      </c>
    </row>
    <row r="946" spans="1:2" x14ac:dyDescent="0.35">
      <c r="A946" s="8">
        <v>943</v>
      </c>
      <c r="B946" s="6">
        <v>1169999.6276169051</v>
      </c>
    </row>
    <row r="947" spans="1:2" x14ac:dyDescent="0.35">
      <c r="A947" s="8">
        <v>944</v>
      </c>
      <c r="B947" s="6">
        <v>1302165.1313879858</v>
      </c>
    </row>
    <row r="948" spans="1:2" x14ac:dyDescent="0.35">
      <c r="A948" s="8">
        <v>945</v>
      </c>
      <c r="B948" s="6">
        <v>1472555.820051624</v>
      </c>
    </row>
    <row r="949" spans="1:2" x14ac:dyDescent="0.35">
      <c r="A949" s="8">
        <v>946</v>
      </c>
      <c r="B949" s="6">
        <v>2325232.5908993911</v>
      </c>
    </row>
    <row r="950" spans="1:2" x14ac:dyDescent="0.35">
      <c r="A950" s="8">
        <v>947</v>
      </c>
      <c r="B950" s="6">
        <v>1192302.6860106611</v>
      </c>
    </row>
    <row r="951" spans="1:2" x14ac:dyDescent="0.35">
      <c r="A951" s="8">
        <v>948</v>
      </c>
      <c r="B951" s="6">
        <v>1371331.8459945037</v>
      </c>
    </row>
    <row r="952" spans="1:2" x14ac:dyDescent="0.35">
      <c r="A952" s="8">
        <v>949</v>
      </c>
      <c r="B952" s="6">
        <v>1272742.1414519204</v>
      </c>
    </row>
    <row r="953" spans="1:2" x14ac:dyDescent="0.35">
      <c r="A953" s="8">
        <v>950</v>
      </c>
      <c r="B953" s="6">
        <v>844422.51169557311</v>
      </c>
    </row>
    <row r="954" spans="1:2" x14ac:dyDescent="0.35">
      <c r="A954" s="8">
        <v>951</v>
      </c>
      <c r="B954" s="6">
        <v>1655582.5122285213</v>
      </c>
    </row>
    <row r="955" spans="1:2" x14ac:dyDescent="0.35">
      <c r="A955" s="8">
        <v>952</v>
      </c>
      <c r="B955" s="6">
        <v>895684.94114450389</v>
      </c>
    </row>
    <row r="956" spans="1:2" x14ac:dyDescent="0.35">
      <c r="A956" s="8">
        <v>953</v>
      </c>
      <c r="B956" s="6">
        <v>2146206.7113682469</v>
      </c>
    </row>
    <row r="957" spans="1:2" x14ac:dyDescent="0.35">
      <c r="A957" s="8">
        <v>954</v>
      </c>
      <c r="B957" s="6">
        <v>1672300.6667884965</v>
      </c>
    </row>
    <row r="958" spans="1:2" x14ac:dyDescent="0.35">
      <c r="A958" s="8">
        <v>955</v>
      </c>
      <c r="B958" s="6">
        <v>2455661.3681747671</v>
      </c>
    </row>
    <row r="959" spans="1:2" x14ac:dyDescent="0.35">
      <c r="A959" s="8">
        <v>956</v>
      </c>
      <c r="B959" s="6">
        <v>1257976.864544495</v>
      </c>
    </row>
    <row r="960" spans="1:2" x14ac:dyDescent="0.35">
      <c r="A960" s="8">
        <v>957</v>
      </c>
      <c r="B960" s="6">
        <v>1296476.8915247296</v>
      </c>
    </row>
    <row r="961" spans="1:2" x14ac:dyDescent="0.35">
      <c r="A961" s="8">
        <v>958</v>
      </c>
      <c r="B961" s="6">
        <v>1914755.9340317519</v>
      </c>
    </row>
    <row r="962" spans="1:2" x14ac:dyDescent="0.35">
      <c r="A962" s="8">
        <v>959</v>
      </c>
      <c r="B962" s="6">
        <v>1726745.6129682497</v>
      </c>
    </row>
    <row r="963" spans="1:2" x14ac:dyDescent="0.35">
      <c r="A963" s="8">
        <v>960</v>
      </c>
      <c r="B963" s="6">
        <v>1063506.4194431102</v>
      </c>
    </row>
    <row r="964" spans="1:2" x14ac:dyDescent="0.35">
      <c r="A964" s="8">
        <v>961</v>
      </c>
      <c r="B964" s="6">
        <v>705221.8789504515</v>
      </c>
    </row>
    <row r="965" spans="1:2" x14ac:dyDescent="0.35">
      <c r="A965" s="8">
        <v>962</v>
      </c>
      <c r="B965" s="6">
        <v>1672430.7329819617</v>
      </c>
    </row>
    <row r="966" spans="1:2" x14ac:dyDescent="0.35">
      <c r="A966" s="8">
        <v>963</v>
      </c>
      <c r="B966" s="6">
        <v>1322113.2903331681</v>
      </c>
    </row>
    <row r="967" spans="1:2" x14ac:dyDescent="0.35">
      <c r="A967" s="8">
        <v>964</v>
      </c>
      <c r="B967" s="6">
        <v>1361916.2824479225</v>
      </c>
    </row>
    <row r="968" spans="1:2" x14ac:dyDescent="0.35">
      <c r="A968" s="8">
        <v>965</v>
      </c>
      <c r="B968" s="6">
        <v>1286651.3801523426</v>
      </c>
    </row>
    <row r="969" spans="1:2" x14ac:dyDescent="0.35">
      <c r="A969" s="8">
        <v>966</v>
      </c>
      <c r="B969" s="6">
        <v>1052020.4356882293</v>
      </c>
    </row>
    <row r="970" spans="1:2" x14ac:dyDescent="0.35">
      <c r="A970" s="8">
        <v>967</v>
      </c>
      <c r="B970" s="6">
        <v>1546097.9070053818</v>
      </c>
    </row>
    <row r="971" spans="1:2" x14ac:dyDescent="0.35">
      <c r="A971" s="8">
        <v>968</v>
      </c>
      <c r="B971" s="6">
        <v>3802572.0764537388</v>
      </c>
    </row>
    <row r="972" spans="1:2" x14ac:dyDescent="0.35">
      <c r="A972" s="8">
        <v>969</v>
      </c>
      <c r="B972" s="6">
        <v>1957256.0303783957</v>
      </c>
    </row>
    <row r="973" spans="1:2" x14ac:dyDescent="0.35">
      <c r="A973" s="8">
        <v>970</v>
      </c>
      <c r="B973" s="6">
        <v>1555442.240496425</v>
      </c>
    </row>
    <row r="974" spans="1:2" x14ac:dyDescent="0.35">
      <c r="A974" s="8">
        <v>971</v>
      </c>
      <c r="B974" s="6">
        <v>1220803.5552215865</v>
      </c>
    </row>
    <row r="975" spans="1:2" x14ac:dyDescent="0.35">
      <c r="A975" s="8">
        <v>972</v>
      </c>
      <c r="B975" s="6">
        <v>1452248.327251168</v>
      </c>
    </row>
    <row r="976" spans="1:2" x14ac:dyDescent="0.35">
      <c r="A976" s="8">
        <v>973</v>
      </c>
      <c r="B976" s="6">
        <v>1893598.7340964566</v>
      </c>
    </row>
    <row r="977" spans="1:2" x14ac:dyDescent="0.35">
      <c r="A977" s="8">
        <v>974</v>
      </c>
      <c r="B977" s="6">
        <v>1805490.457138587</v>
      </c>
    </row>
    <row r="978" spans="1:2" x14ac:dyDescent="0.35">
      <c r="A978" s="8">
        <v>975</v>
      </c>
      <c r="B978" s="6">
        <v>1482486.8907555591</v>
      </c>
    </row>
    <row r="979" spans="1:2" x14ac:dyDescent="0.35">
      <c r="A979" s="8">
        <v>976</v>
      </c>
      <c r="B979" s="6">
        <v>1823562.8457215906</v>
      </c>
    </row>
    <row r="980" spans="1:2" x14ac:dyDescent="0.35">
      <c r="A980" s="8">
        <v>977</v>
      </c>
      <c r="B980" s="6">
        <v>1526779.482475454</v>
      </c>
    </row>
    <row r="981" spans="1:2" x14ac:dyDescent="0.35">
      <c r="A981" s="8">
        <v>978</v>
      </c>
      <c r="B981" s="6">
        <v>1791005.4725817863</v>
      </c>
    </row>
    <row r="982" spans="1:2" x14ac:dyDescent="0.35">
      <c r="A982" s="8">
        <v>979</v>
      </c>
      <c r="B982" s="6">
        <v>2170720.3582595647</v>
      </c>
    </row>
    <row r="983" spans="1:2" x14ac:dyDescent="0.35">
      <c r="A983" s="8">
        <v>980</v>
      </c>
      <c r="B983" s="6">
        <v>2358664.086058985</v>
      </c>
    </row>
    <row r="984" spans="1:2" x14ac:dyDescent="0.35">
      <c r="A984" s="8">
        <v>981</v>
      </c>
      <c r="B984" s="6">
        <v>2852206.8919576802</v>
      </c>
    </row>
    <row r="985" spans="1:2" x14ac:dyDescent="0.35">
      <c r="A985" s="8">
        <v>982</v>
      </c>
      <c r="B985" s="6">
        <v>2451745.3840323268</v>
      </c>
    </row>
    <row r="986" spans="1:2" x14ac:dyDescent="0.35">
      <c r="A986" s="8">
        <v>983</v>
      </c>
      <c r="B986" s="6">
        <v>927751.38190438645</v>
      </c>
    </row>
    <row r="987" spans="1:2" x14ac:dyDescent="0.35">
      <c r="A987" s="8">
        <v>984</v>
      </c>
      <c r="B987" s="6">
        <v>1410935.034101642</v>
      </c>
    </row>
    <row r="988" spans="1:2" x14ac:dyDescent="0.35">
      <c r="A988" s="8">
        <v>985</v>
      </c>
      <c r="B988" s="6">
        <v>672809.82265504426</v>
      </c>
    </row>
    <row r="989" spans="1:2" x14ac:dyDescent="0.35">
      <c r="A989" s="8">
        <v>986</v>
      </c>
      <c r="B989" s="6">
        <v>1656589.3664033893</v>
      </c>
    </row>
    <row r="990" spans="1:2" x14ac:dyDescent="0.35">
      <c r="A990" s="8">
        <v>987</v>
      </c>
      <c r="B990" s="6">
        <v>2019640.8454555231</v>
      </c>
    </row>
    <row r="991" spans="1:2" x14ac:dyDescent="0.35">
      <c r="A991" s="8">
        <v>988</v>
      </c>
      <c r="B991" s="6">
        <v>2308401.602305409</v>
      </c>
    </row>
    <row r="992" spans="1:2" x14ac:dyDescent="0.35">
      <c r="A992" s="8">
        <v>989</v>
      </c>
      <c r="B992" s="6">
        <v>1783446.0092501771</v>
      </c>
    </row>
    <row r="993" spans="1:2" x14ac:dyDescent="0.35">
      <c r="A993" s="8">
        <v>990</v>
      </c>
      <c r="B993" s="6">
        <v>1377428.6490351073</v>
      </c>
    </row>
    <row r="994" spans="1:2" x14ac:dyDescent="0.35">
      <c r="A994" s="8">
        <v>991</v>
      </c>
      <c r="B994" s="6">
        <v>1554594.2946448997</v>
      </c>
    </row>
    <row r="995" spans="1:2" x14ac:dyDescent="0.35">
      <c r="A995" s="8">
        <v>992</v>
      </c>
      <c r="B995" s="6">
        <v>1539665.0398560462</v>
      </c>
    </row>
    <row r="996" spans="1:2" x14ac:dyDescent="0.35">
      <c r="A996" s="8">
        <v>993</v>
      </c>
      <c r="B996" s="6">
        <v>1583413.6830420201</v>
      </c>
    </row>
    <row r="997" spans="1:2" x14ac:dyDescent="0.35">
      <c r="A997" s="8">
        <v>994</v>
      </c>
      <c r="B997" s="6">
        <v>1219929.1002228607</v>
      </c>
    </row>
    <row r="998" spans="1:2" x14ac:dyDescent="0.35">
      <c r="A998" s="8">
        <v>995</v>
      </c>
      <c r="B998" s="6">
        <v>1871824.3262870805</v>
      </c>
    </row>
    <row r="999" spans="1:2" x14ac:dyDescent="0.35">
      <c r="A999" s="8">
        <v>996</v>
      </c>
      <c r="B999" s="6">
        <v>2033960.5072177025</v>
      </c>
    </row>
    <row r="1000" spans="1:2" x14ac:dyDescent="0.35">
      <c r="A1000" s="8">
        <v>997</v>
      </c>
      <c r="B1000" s="6">
        <v>1169260.2345347074</v>
      </c>
    </row>
    <row r="1001" spans="1:2" x14ac:dyDescent="0.35">
      <c r="A1001" s="8">
        <v>998</v>
      </c>
      <c r="B1001" s="6">
        <v>1393714.5731114272</v>
      </c>
    </row>
    <row r="1002" spans="1:2" x14ac:dyDescent="0.35">
      <c r="A1002" s="8">
        <v>999</v>
      </c>
      <c r="B1002" s="6">
        <v>926716.01475942275</v>
      </c>
    </row>
    <row r="1003" spans="1:2" x14ac:dyDescent="0.35">
      <c r="A1003" s="8">
        <v>1000</v>
      </c>
      <c r="B1003" s="6">
        <v>1311340.7550067557</v>
      </c>
    </row>
  </sheetData>
  <mergeCells count="7">
    <mergeCell ref="X2:Y2"/>
    <mergeCell ref="G1:Y1"/>
    <mergeCell ref="A1:B2"/>
    <mergeCell ref="D1:E2"/>
    <mergeCell ref="G2:L2"/>
    <mergeCell ref="N2:S2"/>
    <mergeCell ref="U2:V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5484B7-AB08-480B-AF6E-239F6D49B736}">
  <sheetPr codeName="Sheet6"/>
  <dimension ref="A1:DB1003"/>
  <sheetViews>
    <sheetView zoomScale="90" zoomScaleNormal="90" workbookViewId="0">
      <pane xSplit="7" ySplit="3" topLeftCell="R4" activePane="bottomRight" state="frozen"/>
      <selection activeCell="N2" sqref="N2:S2"/>
      <selection pane="topRight" activeCell="N2" sqref="N2:S2"/>
      <selection pane="bottomLeft" activeCell="N2" sqref="N2:S2"/>
      <selection pane="bottomRight" activeCell="W3" sqref="W3"/>
    </sheetView>
  </sheetViews>
  <sheetFormatPr defaultRowHeight="14.5" x14ac:dyDescent="0.35"/>
  <cols>
    <col min="1" max="1" width="13.6328125" bestFit="1" customWidth="1"/>
    <col min="2" max="2" width="14" bestFit="1" customWidth="1"/>
    <col min="3" max="3" width="13.81640625" bestFit="1" customWidth="1"/>
    <col min="4" max="4" width="15.81640625" bestFit="1" customWidth="1"/>
    <col min="5" max="5" width="21.90625" bestFit="1" customWidth="1"/>
    <col min="7" max="7" width="5.1796875" bestFit="1" customWidth="1"/>
    <col min="8" max="8" width="17.453125" bestFit="1" customWidth="1"/>
    <col min="9" max="9" width="19.90625" bestFit="1" customWidth="1"/>
    <col min="10" max="10" width="35.453125" bestFit="1" customWidth="1"/>
    <col min="11" max="11" width="18.81640625" bestFit="1" customWidth="1"/>
    <col min="12" max="12" width="16.90625" bestFit="1" customWidth="1"/>
    <col min="14" max="14" width="19.6328125" bestFit="1" customWidth="1"/>
    <col min="15" max="15" width="11.26953125" bestFit="1" customWidth="1"/>
    <col min="16" max="16" width="8.81640625" bestFit="1" customWidth="1"/>
    <col min="17" max="17" width="18.81640625" bestFit="1" customWidth="1"/>
    <col min="18" max="18" width="21.26953125" bestFit="1" customWidth="1"/>
    <col min="19" max="19" width="11.90625" bestFit="1" customWidth="1"/>
    <col min="21" max="21" width="17.54296875" bestFit="1" customWidth="1"/>
    <col min="22" max="22" width="14.26953125" bestFit="1" customWidth="1"/>
    <col min="23" max="23" width="12.54296875" bestFit="1" customWidth="1"/>
    <col min="24" max="24" width="10.7265625" bestFit="1" customWidth="1"/>
    <col min="25" max="25" width="33.54296875" bestFit="1" customWidth="1"/>
  </cols>
  <sheetData>
    <row r="1" spans="1:106" ht="23.5" x14ac:dyDescent="0.35">
      <c r="A1" s="39" t="s">
        <v>35</v>
      </c>
      <c r="B1" s="39"/>
      <c r="D1" s="39" t="s">
        <v>36</v>
      </c>
      <c r="E1" s="39"/>
      <c r="G1" s="41" t="s">
        <v>34</v>
      </c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</row>
    <row r="2" spans="1:106" ht="17.5" thickBot="1" x14ac:dyDescent="0.45">
      <c r="A2" s="39"/>
      <c r="B2" s="39"/>
      <c r="D2" s="39"/>
      <c r="E2" s="39"/>
      <c r="G2" s="40" t="s">
        <v>13</v>
      </c>
      <c r="H2" s="40"/>
      <c r="I2" s="40"/>
      <c r="J2" s="40"/>
      <c r="K2" s="40"/>
      <c r="L2" s="40"/>
      <c r="N2" s="40" t="s">
        <v>14</v>
      </c>
      <c r="O2" s="40"/>
      <c r="P2" s="40"/>
      <c r="Q2" s="40"/>
      <c r="R2" s="40"/>
      <c r="S2" s="40"/>
      <c r="U2" s="40" t="s">
        <v>12</v>
      </c>
      <c r="V2" s="40"/>
      <c r="X2" s="40" t="s">
        <v>33</v>
      </c>
      <c r="Y2" s="40"/>
    </row>
    <row r="3" spans="1:106" ht="18" thickTop="1" thickBot="1" x14ac:dyDescent="0.4">
      <c r="A3" s="7" t="s">
        <v>31</v>
      </c>
      <c r="B3" s="7" t="s">
        <v>18</v>
      </c>
      <c r="D3" s="7" t="s">
        <v>19</v>
      </c>
      <c r="E3" s="7" t="s">
        <v>20</v>
      </c>
      <c r="G3" s="10" t="s">
        <v>0</v>
      </c>
      <c r="H3" s="10" t="s">
        <v>1</v>
      </c>
      <c r="I3" s="10" t="s">
        <v>2</v>
      </c>
      <c r="J3" s="10" t="s">
        <v>3</v>
      </c>
      <c r="K3" s="10" t="s">
        <v>4</v>
      </c>
      <c r="L3" s="10" t="s">
        <v>5</v>
      </c>
      <c r="M3" s="1"/>
      <c r="N3" s="10" t="s">
        <v>6</v>
      </c>
      <c r="O3" s="10" t="s">
        <v>7</v>
      </c>
      <c r="P3" s="10" t="s">
        <v>8</v>
      </c>
      <c r="Q3" s="10" t="s">
        <v>4</v>
      </c>
      <c r="R3" s="10" t="s">
        <v>9</v>
      </c>
      <c r="S3" s="10" t="s">
        <v>10</v>
      </c>
      <c r="T3" s="1"/>
      <c r="U3" s="10" t="s">
        <v>11</v>
      </c>
      <c r="V3" s="10" t="s">
        <v>12</v>
      </c>
      <c r="W3" s="43">
        <f>SUM(W4:W14)</f>
        <v>1491891.9247489609</v>
      </c>
      <c r="X3" s="10" t="s">
        <v>38</v>
      </c>
      <c r="Y3" s="10" t="s">
        <v>39</v>
      </c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</row>
    <row r="4" spans="1:106" ht="15" thickTop="1" x14ac:dyDescent="0.35">
      <c r="A4" s="8">
        <v>1</v>
      </c>
      <c r="B4" s="6">
        <v>-118984865.83121315</v>
      </c>
      <c r="C4" s="14">
        <v>1437946.17</v>
      </c>
      <c r="D4" t="s">
        <v>21</v>
      </c>
      <c r="E4" s="6">
        <v>-219380.65801213318</v>
      </c>
      <c r="G4" s="5">
        <v>0</v>
      </c>
      <c r="H4" s="24">
        <v>0</v>
      </c>
      <c r="I4" s="2">
        <v>0</v>
      </c>
      <c r="J4" s="2">
        <v>0</v>
      </c>
      <c r="K4" s="2">
        <v>0</v>
      </c>
      <c r="L4" s="2">
        <v>0</v>
      </c>
      <c r="N4" s="2">
        <v>0</v>
      </c>
      <c r="O4" s="2">
        <v>1000150</v>
      </c>
      <c r="P4" s="2">
        <v>0</v>
      </c>
      <c r="Q4" s="2">
        <v>0</v>
      </c>
      <c r="R4" s="2">
        <v>0</v>
      </c>
      <c r="S4" s="2">
        <v>-1000150</v>
      </c>
      <c r="U4" s="3">
        <v>1</v>
      </c>
      <c r="V4" s="2">
        <v>-1000150</v>
      </c>
      <c r="W4">
        <f>V4/1.15^G4</f>
        <v>-1000150</v>
      </c>
      <c r="X4" s="3"/>
      <c r="Y4" s="3"/>
    </row>
    <row r="5" spans="1:106" x14ac:dyDescent="0.35">
      <c r="A5" s="8">
        <v>2</v>
      </c>
      <c r="B5" s="6">
        <v>-115098999.0809447</v>
      </c>
      <c r="C5">
        <f>COUNTIF(B4:B1003,"&lt;"&amp;C4)</f>
        <v>329</v>
      </c>
      <c r="D5" t="s">
        <v>22</v>
      </c>
      <c r="E5" s="6">
        <v>9870286.7381967735</v>
      </c>
      <c r="G5" s="5">
        <v>1</v>
      </c>
      <c r="H5" s="24">
        <v>9500000</v>
      </c>
      <c r="I5" s="2">
        <v>0</v>
      </c>
      <c r="J5" s="2">
        <v>12327973.187564207</v>
      </c>
      <c r="K5" s="2">
        <v>92459.79890673155</v>
      </c>
      <c r="L5" s="2">
        <v>12235513.388657475</v>
      </c>
      <c r="N5" s="2">
        <v>500000</v>
      </c>
      <c r="O5" s="2">
        <v>0</v>
      </c>
      <c r="P5" s="2">
        <v>30000</v>
      </c>
      <c r="Q5" s="2">
        <v>92459.79890673155</v>
      </c>
      <c r="R5" s="2">
        <v>13410.122673968592</v>
      </c>
      <c r="S5" s="2">
        <v>609049.67623276298</v>
      </c>
      <c r="U5" s="3">
        <v>1</v>
      </c>
      <c r="V5" s="2">
        <v>609049.67623276298</v>
      </c>
      <c r="W5">
        <f t="shared" ref="W5:W13" si="0">V5/1.15^G5</f>
        <v>529608.41411544615</v>
      </c>
      <c r="X5" s="3">
        <v>0.54042354081531307</v>
      </c>
      <c r="Y5" s="3">
        <v>1.2976813881646534</v>
      </c>
    </row>
    <row r="6" spans="1:106" x14ac:dyDescent="0.35">
      <c r="A6" s="8">
        <v>3</v>
      </c>
      <c r="B6" s="6">
        <v>-101437351.02749653</v>
      </c>
      <c r="C6" s="28">
        <f>SUMIFS(B4:B1003,B4:B1003,"&lt;="&amp;E7)/COUNTIFS(B4:B1003,"&lt;="&amp;E7)</f>
        <v>-32883850.928221706</v>
      </c>
      <c r="D6" t="s">
        <v>23</v>
      </c>
      <c r="E6" s="11" t="s">
        <v>553</v>
      </c>
      <c r="G6" s="5">
        <v>2</v>
      </c>
      <c r="H6" s="24">
        <v>9900000</v>
      </c>
      <c r="I6" s="2">
        <v>12235513.388657475</v>
      </c>
      <c r="J6" s="2">
        <v>26524382.471231211</v>
      </c>
      <c r="K6" s="2">
        <v>198932.86853423409</v>
      </c>
      <c r="L6" s="2">
        <v>26325449.602696978</v>
      </c>
      <c r="N6" s="2">
        <v>100000</v>
      </c>
      <c r="O6" s="2">
        <v>50000</v>
      </c>
      <c r="P6" s="2">
        <v>3000</v>
      </c>
      <c r="Q6" s="2">
        <v>198932.86853423409</v>
      </c>
      <c r="R6" s="2">
        <v>31511.563174428287</v>
      </c>
      <c r="S6" s="2">
        <v>220421.30535980582</v>
      </c>
      <c r="U6" s="3">
        <v>0.88922699999999999</v>
      </c>
      <c r="V6" s="2">
        <v>196004.57610118404</v>
      </c>
      <c r="W6">
        <f t="shared" si="0"/>
        <v>148207.61898010137</v>
      </c>
      <c r="X6" s="3">
        <v>8.387985011316984E-2</v>
      </c>
      <c r="Y6" s="3">
        <v>1.1982727486601983</v>
      </c>
    </row>
    <row r="7" spans="1:106" x14ac:dyDescent="0.35">
      <c r="A7" s="8">
        <v>4</v>
      </c>
      <c r="B7" s="6">
        <v>-87621399.258515909</v>
      </c>
      <c r="D7" t="s">
        <v>24</v>
      </c>
      <c r="E7" s="6">
        <v>-6637325.4141795961</v>
      </c>
      <c r="G7" s="5">
        <v>3</v>
      </c>
      <c r="H7" s="24">
        <v>9900000</v>
      </c>
      <c r="I7" s="2">
        <v>26325449.602696978</v>
      </c>
      <c r="J7" s="2">
        <v>44301986.116847314</v>
      </c>
      <c r="K7" s="2">
        <v>332264.89587635489</v>
      </c>
      <c r="L7" s="2">
        <v>43969721.220970958</v>
      </c>
      <c r="N7" s="2">
        <v>100000</v>
      </c>
      <c r="O7" s="2">
        <v>50000</v>
      </c>
      <c r="P7" s="2">
        <v>3000</v>
      </c>
      <c r="Q7" s="2">
        <v>332264.89587635489</v>
      </c>
      <c r="R7" s="2">
        <v>57336.516472146133</v>
      </c>
      <c r="S7" s="2">
        <v>327928.37940420874</v>
      </c>
      <c r="U7" s="3">
        <v>0.83374990592399989</v>
      </c>
      <c r="V7" s="2">
        <v>273410.25547806878</v>
      </c>
      <c r="W7">
        <f t="shared" si="0"/>
        <v>179771.68109020719</v>
      </c>
      <c r="X7" s="3">
        <v>0.20066213722147822</v>
      </c>
      <c r="Y7" s="3">
        <v>1.222952002051868</v>
      </c>
    </row>
    <row r="8" spans="1:106" x14ac:dyDescent="0.35">
      <c r="A8" s="8">
        <v>5</v>
      </c>
      <c r="B8" s="6">
        <v>-76533602.78708002</v>
      </c>
      <c r="D8" t="s">
        <v>25</v>
      </c>
      <c r="E8" s="6">
        <v>1573559.5898627068</v>
      </c>
      <c r="G8" s="5">
        <v>4</v>
      </c>
      <c r="H8" s="24">
        <v>9900000</v>
      </c>
      <c r="I8" s="2">
        <v>43969721.220970958</v>
      </c>
      <c r="J8" s="2">
        <v>57741745.508356862</v>
      </c>
      <c r="K8" s="2">
        <v>433063.09131267644</v>
      </c>
      <c r="L8" s="2">
        <v>57308682.417044185</v>
      </c>
      <c r="N8" s="2">
        <v>100000</v>
      </c>
      <c r="O8" s="2">
        <v>50000</v>
      </c>
      <c r="P8" s="2">
        <v>3000</v>
      </c>
      <c r="Q8" s="2">
        <v>433063.09131267644</v>
      </c>
      <c r="R8" s="2">
        <v>81263.711667368654</v>
      </c>
      <c r="S8" s="2">
        <v>404799.37964530778</v>
      </c>
      <c r="U8" s="3">
        <v>0.82192733225799763</v>
      </c>
      <c r="V8" s="2">
        <v>332715.67421156022</v>
      </c>
      <c r="W8">
        <f t="shared" si="0"/>
        <v>190231.26659013386</v>
      </c>
      <c r="X8" s="3">
        <v>-0.55466338148252725</v>
      </c>
      <c r="Y8" s="3">
        <v>1.0718775631212765</v>
      </c>
    </row>
    <row r="9" spans="1:106" x14ac:dyDescent="0.35">
      <c r="A9" s="8">
        <v>6</v>
      </c>
      <c r="B9" s="6">
        <v>-68942883.133479565</v>
      </c>
      <c r="D9" t="s">
        <v>26</v>
      </c>
      <c r="E9" s="6">
        <v>2075940.6961244617</v>
      </c>
      <c r="G9" s="5">
        <v>5</v>
      </c>
      <c r="H9" s="24">
        <v>9900000</v>
      </c>
      <c r="I9" s="2">
        <v>57308682.417044185</v>
      </c>
      <c r="J9" s="2">
        <v>72491827.963096499</v>
      </c>
      <c r="K9" s="2">
        <v>543688.7097232237</v>
      </c>
      <c r="L9" s="2">
        <v>71948139.25337328</v>
      </c>
      <c r="N9" s="2">
        <v>100000</v>
      </c>
      <c r="O9" s="2">
        <v>50000</v>
      </c>
      <c r="P9" s="2">
        <v>3000</v>
      </c>
      <c r="Q9" s="2">
        <v>543688.7097232237</v>
      </c>
      <c r="R9" s="2">
        <v>110944.03072870159</v>
      </c>
      <c r="S9" s="2">
        <v>485744.67899452208</v>
      </c>
      <c r="U9" s="3">
        <v>0.80925321279457929</v>
      </c>
      <c r="V9" s="2">
        <v>393090.44207418861</v>
      </c>
      <c r="W9">
        <f t="shared" si="0"/>
        <v>195435.42266740662</v>
      </c>
      <c r="X9" s="3">
        <v>-0.51880601659737469</v>
      </c>
      <c r="Y9" s="3">
        <v>1.0786080809212903</v>
      </c>
    </row>
    <row r="10" spans="1:106" x14ac:dyDescent="0.35">
      <c r="A10" s="8">
        <v>7</v>
      </c>
      <c r="B10" s="6">
        <v>-64079898.880185261</v>
      </c>
      <c r="D10" t="s">
        <v>27</v>
      </c>
      <c r="E10">
        <v>75</v>
      </c>
      <c r="G10" s="5">
        <v>6</v>
      </c>
      <c r="H10" s="24">
        <v>9900000</v>
      </c>
      <c r="I10" s="2">
        <v>71948139.25337328</v>
      </c>
      <c r="J10" s="2">
        <v>110258116.23341762</v>
      </c>
      <c r="K10" s="2">
        <v>826935.87175063207</v>
      </c>
      <c r="L10" s="2">
        <v>109431180.36166698</v>
      </c>
      <c r="N10" s="2">
        <v>100000</v>
      </c>
      <c r="O10" s="2">
        <v>50000</v>
      </c>
      <c r="P10" s="2">
        <v>3000</v>
      </c>
      <c r="Q10" s="2">
        <v>826935.87175063207</v>
      </c>
      <c r="R10" s="2">
        <v>183844.38300760053</v>
      </c>
      <c r="S10" s="2">
        <v>696091.48874303151</v>
      </c>
      <c r="U10" s="3">
        <v>0.7956577588196303</v>
      </c>
      <c r="V10" s="2">
        <v>553850.59386670042</v>
      </c>
      <c r="W10">
        <f t="shared" si="0"/>
        <v>239444.89574057842</v>
      </c>
      <c r="X10" s="3">
        <v>0.75454872342089918</v>
      </c>
      <c r="Y10" s="3">
        <v>1.3471059603700575</v>
      </c>
    </row>
    <row r="11" spans="1:106" x14ac:dyDescent="0.35">
      <c r="A11" s="8">
        <v>8</v>
      </c>
      <c r="B11" s="6">
        <v>-63450769.314306319</v>
      </c>
      <c r="D11" t="s">
        <v>28</v>
      </c>
      <c r="E11">
        <v>918</v>
      </c>
      <c r="G11" s="5">
        <v>7</v>
      </c>
      <c r="H11" s="24">
        <v>9900000</v>
      </c>
      <c r="I11" s="2">
        <v>109431180.36166698</v>
      </c>
      <c r="J11" s="2">
        <v>96029085.076042309</v>
      </c>
      <c r="K11" s="2">
        <v>720218.13807031733</v>
      </c>
      <c r="L11" s="2">
        <v>95308866.937971994</v>
      </c>
      <c r="N11" s="2">
        <v>100000</v>
      </c>
      <c r="O11" s="2">
        <v>50000</v>
      </c>
      <c r="P11" s="2">
        <v>3000</v>
      </c>
      <c r="Q11" s="2">
        <v>720218.13807031733</v>
      </c>
      <c r="R11" s="2">
        <v>174987.07969811661</v>
      </c>
      <c r="S11" s="2">
        <v>598231.0583722007</v>
      </c>
      <c r="U11" s="3">
        <v>0.78104948236770189</v>
      </c>
      <c r="V11" s="2">
        <v>467248.0584778898</v>
      </c>
      <c r="W11">
        <f t="shared" si="0"/>
        <v>175655.85201398999</v>
      </c>
      <c r="X11" s="3">
        <v>-2.1967923022878884</v>
      </c>
      <c r="Y11" s="3">
        <v>0.80472752205248399</v>
      </c>
    </row>
    <row r="12" spans="1:106" x14ac:dyDescent="0.35">
      <c r="A12" s="8">
        <v>9</v>
      </c>
      <c r="B12" s="6">
        <v>-62449348.790624991</v>
      </c>
      <c r="G12" s="5">
        <v>8</v>
      </c>
      <c r="H12" s="24">
        <v>9900000</v>
      </c>
      <c r="I12" s="2">
        <v>95308866.937971994</v>
      </c>
      <c r="J12" s="2">
        <v>140596004.31144133</v>
      </c>
      <c r="K12" s="2">
        <v>1054470.0323358101</v>
      </c>
      <c r="L12" s="2">
        <v>139541534.27910551</v>
      </c>
      <c r="N12" s="2">
        <v>100000</v>
      </c>
      <c r="O12" s="2">
        <v>50000</v>
      </c>
      <c r="P12" s="2">
        <v>3000</v>
      </c>
      <c r="Q12" s="2">
        <v>1054470.0323358101</v>
      </c>
      <c r="R12" s="2">
        <v>280757.56696956028</v>
      </c>
      <c r="S12" s="2">
        <v>826712.4653662499</v>
      </c>
      <c r="U12" s="3">
        <v>0.7653347667824637</v>
      </c>
      <c r="V12" s="2">
        <v>632711.79187723447</v>
      </c>
      <c r="W12">
        <f t="shared" si="0"/>
        <v>206834.60709805513</v>
      </c>
      <c r="X12" s="3">
        <v>0.70863208807491518</v>
      </c>
      <c r="Y12" s="3">
        <v>1.3363512829610886</v>
      </c>
    </row>
    <row r="13" spans="1:106" x14ac:dyDescent="0.35">
      <c r="A13" s="8">
        <v>10</v>
      </c>
      <c r="B13" s="6">
        <v>-50771919.76644665</v>
      </c>
      <c r="G13" s="5">
        <v>9</v>
      </c>
      <c r="H13" s="24">
        <v>9900000</v>
      </c>
      <c r="I13" s="2">
        <v>139541534.27910551</v>
      </c>
      <c r="J13" s="2">
        <v>206294773.42612082</v>
      </c>
      <c r="K13" s="2">
        <v>1547210.8006959064</v>
      </c>
      <c r="L13" s="2">
        <v>204747562.62542492</v>
      </c>
      <c r="N13" s="2">
        <v>100000</v>
      </c>
      <c r="O13" s="2">
        <v>50000</v>
      </c>
      <c r="P13" s="2">
        <v>3000</v>
      </c>
      <c r="Q13" s="2">
        <v>1547210.8006959064</v>
      </c>
      <c r="R13" s="2">
        <v>452287.36583956366</v>
      </c>
      <c r="S13" s="2">
        <v>1147923.4348563426</v>
      </c>
      <c r="U13" s="3">
        <v>0.74842852178423913</v>
      </c>
      <c r="V13" s="2">
        <v>859138.6394710188</v>
      </c>
      <c r="W13">
        <f t="shared" si="0"/>
        <v>244220.82193292095</v>
      </c>
      <c r="X13" s="3">
        <v>0.89456445607369617</v>
      </c>
      <c r="Y13" s="3">
        <v>1.3804380048777669</v>
      </c>
    </row>
    <row r="14" spans="1:106" x14ac:dyDescent="0.35">
      <c r="A14" s="8">
        <v>11</v>
      </c>
      <c r="B14" s="6">
        <v>-49701160.302690513</v>
      </c>
      <c r="G14" s="5">
        <v>10</v>
      </c>
      <c r="H14" s="24">
        <v>9900000</v>
      </c>
      <c r="I14" s="2">
        <v>204747562.62542492</v>
      </c>
      <c r="J14" s="2">
        <v>268703546.19790882</v>
      </c>
      <c r="K14" s="2">
        <v>2015276.596484316</v>
      </c>
      <c r="L14" s="2">
        <v>266688269.60142452</v>
      </c>
      <c r="N14" s="2">
        <v>100000</v>
      </c>
      <c r="O14" s="2">
        <v>50000</v>
      </c>
      <c r="P14" s="2">
        <v>3000</v>
      </c>
      <c r="Q14" s="2">
        <v>2015276.596484316</v>
      </c>
      <c r="R14" s="2">
        <v>0</v>
      </c>
      <c r="S14" s="2">
        <v>2068276.596484316</v>
      </c>
      <c r="U14" s="3">
        <v>0.74842852178423913</v>
      </c>
      <c r="V14" s="2">
        <v>1547957.195747694</v>
      </c>
      <c r="W14">
        <f>V14/1.15^G14</f>
        <v>382631.34452012135</v>
      </c>
      <c r="X14" s="3">
        <v>0.33438450165271355</v>
      </c>
      <c r="Y14" s="3">
        <v>1.2518359999587574</v>
      </c>
    </row>
    <row r="15" spans="1:106" x14ac:dyDescent="0.35">
      <c r="A15" s="8">
        <v>12</v>
      </c>
      <c r="B15" s="6">
        <v>-49325087.073944911</v>
      </c>
    </row>
    <row r="16" spans="1:106" x14ac:dyDescent="0.35">
      <c r="A16" s="8">
        <v>13</v>
      </c>
      <c r="B16" s="6">
        <v>-48353627.309875116</v>
      </c>
    </row>
    <row r="17" spans="1:2" x14ac:dyDescent="0.35">
      <c r="A17" s="8">
        <v>14</v>
      </c>
      <c r="B17" s="6">
        <v>-40420978.967657223</v>
      </c>
    </row>
    <row r="18" spans="1:2" x14ac:dyDescent="0.35">
      <c r="A18" s="8">
        <v>15</v>
      </c>
      <c r="B18" s="6">
        <v>-40273211.125137776</v>
      </c>
    </row>
    <row r="19" spans="1:2" x14ac:dyDescent="0.35">
      <c r="A19" s="8">
        <v>16</v>
      </c>
      <c r="B19" s="6">
        <v>-37342414.404788338</v>
      </c>
    </row>
    <row r="20" spans="1:2" x14ac:dyDescent="0.35">
      <c r="A20" s="8">
        <v>17</v>
      </c>
      <c r="B20" s="6">
        <v>-36766535.572907507</v>
      </c>
    </row>
    <row r="21" spans="1:2" x14ac:dyDescent="0.35">
      <c r="A21" s="8">
        <v>18</v>
      </c>
      <c r="B21" s="6">
        <v>-36195242.05539003</v>
      </c>
    </row>
    <row r="22" spans="1:2" x14ac:dyDescent="0.35">
      <c r="A22" s="8">
        <v>19</v>
      </c>
      <c r="B22" s="6">
        <v>-35129469.692061976</v>
      </c>
    </row>
    <row r="23" spans="1:2" x14ac:dyDescent="0.35">
      <c r="A23" s="8">
        <v>20</v>
      </c>
      <c r="B23" s="6">
        <v>-33218304.659759965</v>
      </c>
    </row>
    <row r="24" spans="1:2" x14ac:dyDescent="0.35">
      <c r="A24" s="8">
        <v>21</v>
      </c>
      <c r="B24" s="6">
        <v>-27249365.74441937</v>
      </c>
    </row>
    <row r="25" spans="1:2" x14ac:dyDescent="0.35">
      <c r="A25" s="8">
        <v>22</v>
      </c>
      <c r="B25" s="6">
        <v>-26550085.72238386</v>
      </c>
    </row>
    <row r="26" spans="1:2" x14ac:dyDescent="0.35">
      <c r="A26" s="8">
        <v>23</v>
      </c>
      <c r="B26" s="6">
        <v>-22636859.181881201</v>
      </c>
    </row>
    <row r="27" spans="1:2" x14ac:dyDescent="0.35">
      <c r="A27" s="8">
        <v>24</v>
      </c>
      <c r="B27" s="6">
        <v>-21811190.984517585</v>
      </c>
    </row>
    <row r="28" spans="1:2" x14ac:dyDescent="0.35">
      <c r="A28" s="8">
        <v>25</v>
      </c>
      <c r="B28" s="6">
        <v>-20824143.67349913</v>
      </c>
    </row>
    <row r="29" spans="1:2" x14ac:dyDescent="0.35">
      <c r="A29" s="8">
        <v>26</v>
      </c>
      <c r="B29" s="6">
        <v>-20415476.9450402</v>
      </c>
    </row>
    <row r="30" spans="1:2" x14ac:dyDescent="0.35">
      <c r="A30" s="8">
        <v>27</v>
      </c>
      <c r="B30" s="6">
        <v>-20290652.2302249</v>
      </c>
    </row>
    <row r="31" spans="1:2" x14ac:dyDescent="0.35">
      <c r="A31" s="8">
        <v>28</v>
      </c>
      <c r="B31" s="6">
        <v>-19230563.647086076</v>
      </c>
    </row>
    <row r="32" spans="1:2" x14ac:dyDescent="0.35">
      <c r="A32" s="8">
        <v>29</v>
      </c>
      <c r="B32" s="6">
        <v>-18729096.076104835</v>
      </c>
    </row>
    <row r="33" spans="1:2" x14ac:dyDescent="0.35">
      <c r="A33" s="8">
        <v>30</v>
      </c>
      <c r="B33" s="6">
        <v>-16597193.660757462</v>
      </c>
    </row>
    <row r="34" spans="1:2" x14ac:dyDescent="0.35">
      <c r="A34" s="8">
        <v>31</v>
      </c>
      <c r="B34" s="6">
        <v>-15515822.232305087</v>
      </c>
    </row>
    <row r="35" spans="1:2" x14ac:dyDescent="0.35">
      <c r="A35" s="8">
        <v>32</v>
      </c>
      <c r="B35" s="6">
        <v>-15406240.396846313</v>
      </c>
    </row>
    <row r="36" spans="1:2" x14ac:dyDescent="0.35">
      <c r="A36" s="8">
        <v>33</v>
      </c>
      <c r="B36" s="6">
        <v>-15234293.821221456</v>
      </c>
    </row>
    <row r="37" spans="1:2" x14ac:dyDescent="0.35">
      <c r="A37" s="8">
        <v>34</v>
      </c>
      <c r="B37" s="6">
        <v>-15034952.10832049</v>
      </c>
    </row>
    <row r="38" spans="1:2" x14ac:dyDescent="0.35">
      <c r="A38" s="8">
        <v>35</v>
      </c>
      <c r="B38" s="6">
        <v>-14490743.572134133</v>
      </c>
    </row>
    <row r="39" spans="1:2" x14ac:dyDescent="0.35">
      <c r="A39" s="8">
        <v>36</v>
      </c>
      <c r="B39" s="6">
        <v>-12407260.314137656</v>
      </c>
    </row>
    <row r="40" spans="1:2" x14ac:dyDescent="0.35">
      <c r="A40" s="8">
        <v>37</v>
      </c>
      <c r="B40" s="6">
        <v>-11737726.140391748</v>
      </c>
    </row>
    <row r="41" spans="1:2" x14ac:dyDescent="0.35">
      <c r="A41" s="8">
        <v>38</v>
      </c>
      <c r="B41" s="6">
        <v>-11452077.418961558</v>
      </c>
    </row>
    <row r="42" spans="1:2" x14ac:dyDescent="0.35">
      <c r="A42" s="8">
        <v>39</v>
      </c>
      <c r="B42" s="6">
        <v>-10917166.198146915</v>
      </c>
    </row>
    <row r="43" spans="1:2" x14ac:dyDescent="0.35">
      <c r="A43" s="8">
        <v>40</v>
      </c>
      <c r="B43" s="6">
        <v>-9881262.7683912124</v>
      </c>
    </row>
    <row r="44" spans="1:2" x14ac:dyDescent="0.35">
      <c r="A44" s="8">
        <v>41</v>
      </c>
      <c r="B44" s="6">
        <v>-9669992.6557236016</v>
      </c>
    </row>
    <row r="45" spans="1:2" x14ac:dyDescent="0.35">
      <c r="A45" s="8">
        <v>42</v>
      </c>
      <c r="B45" s="6">
        <v>-9236297.4968241099</v>
      </c>
    </row>
    <row r="46" spans="1:2" x14ac:dyDescent="0.35">
      <c r="A46" s="8">
        <v>43</v>
      </c>
      <c r="B46" s="6">
        <v>-8836286.7950983793</v>
      </c>
    </row>
    <row r="47" spans="1:2" x14ac:dyDescent="0.35">
      <c r="A47" s="8">
        <v>44</v>
      </c>
      <c r="B47" s="6">
        <v>-8766891.0122733712</v>
      </c>
    </row>
    <row r="48" spans="1:2" x14ac:dyDescent="0.35">
      <c r="A48" s="8">
        <v>45</v>
      </c>
      <c r="B48" s="6">
        <v>-8376918.310766439</v>
      </c>
    </row>
    <row r="49" spans="1:2" x14ac:dyDescent="0.35">
      <c r="A49" s="8">
        <v>46</v>
      </c>
      <c r="B49" s="6">
        <v>-8206077.248159823</v>
      </c>
    </row>
    <row r="50" spans="1:2" x14ac:dyDescent="0.35">
      <c r="A50" s="8">
        <v>47</v>
      </c>
      <c r="B50" s="6">
        <v>-8072344.9085458554</v>
      </c>
    </row>
    <row r="51" spans="1:2" x14ac:dyDescent="0.35">
      <c r="A51" s="8">
        <v>48</v>
      </c>
      <c r="B51" s="6">
        <v>-6990449.2903459314</v>
      </c>
    </row>
    <row r="52" spans="1:2" x14ac:dyDescent="0.35">
      <c r="A52" s="8">
        <v>49</v>
      </c>
      <c r="B52" s="6">
        <v>-6890721.4078908311</v>
      </c>
    </row>
    <row r="53" spans="1:2" x14ac:dyDescent="0.35">
      <c r="A53" s="8">
        <v>50</v>
      </c>
      <c r="B53" s="6">
        <v>-6637325.4141795961</v>
      </c>
    </row>
    <row r="54" spans="1:2" x14ac:dyDescent="0.35">
      <c r="A54" s="8">
        <v>51</v>
      </c>
      <c r="B54" s="6">
        <v>-5847085.4143827111</v>
      </c>
    </row>
    <row r="55" spans="1:2" x14ac:dyDescent="0.35">
      <c r="A55" s="8">
        <v>52</v>
      </c>
      <c r="B55" s="6">
        <v>-4972565.8015170265</v>
      </c>
    </row>
    <row r="56" spans="1:2" x14ac:dyDescent="0.35">
      <c r="A56" s="8">
        <v>53</v>
      </c>
      <c r="B56" s="6">
        <v>-4632474.4625713276</v>
      </c>
    </row>
    <row r="57" spans="1:2" x14ac:dyDescent="0.35">
      <c r="A57" s="8">
        <v>54</v>
      </c>
      <c r="B57" s="6">
        <v>-4629256.2161242943</v>
      </c>
    </row>
    <row r="58" spans="1:2" x14ac:dyDescent="0.35">
      <c r="A58" s="8">
        <v>55</v>
      </c>
      <c r="B58" s="6">
        <v>-4335850.8430194501</v>
      </c>
    </row>
    <row r="59" spans="1:2" x14ac:dyDescent="0.35">
      <c r="A59" s="8">
        <v>56</v>
      </c>
      <c r="B59" s="6">
        <v>-4201630.2225224916</v>
      </c>
    </row>
    <row r="60" spans="1:2" x14ac:dyDescent="0.35">
      <c r="A60" s="8">
        <v>57</v>
      </c>
      <c r="B60" s="6">
        <v>-3903071.8155920538</v>
      </c>
    </row>
    <row r="61" spans="1:2" x14ac:dyDescent="0.35">
      <c r="A61" s="8">
        <v>58</v>
      </c>
      <c r="B61" s="6">
        <v>-3874317.0447258381</v>
      </c>
    </row>
    <row r="62" spans="1:2" x14ac:dyDescent="0.35">
      <c r="A62" s="8">
        <v>59</v>
      </c>
      <c r="B62" s="6">
        <v>-3716464.109576093</v>
      </c>
    </row>
    <row r="63" spans="1:2" x14ac:dyDescent="0.35">
      <c r="A63" s="8">
        <v>60</v>
      </c>
      <c r="B63" s="6">
        <v>-3554126.9188657091</v>
      </c>
    </row>
    <row r="64" spans="1:2" x14ac:dyDescent="0.35">
      <c r="A64" s="8">
        <v>61</v>
      </c>
      <c r="B64" s="6">
        <v>-3458818.6150409719</v>
      </c>
    </row>
    <row r="65" spans="1:2" x14ac:dyDescent="0.35">
      <c r="A65" s="8">
        <v>62</v>
      </c>
      <c r="B65" s="6">
        <v>-3124498.4515284356</v>
      </c>
    </row>
    <row r="66" spans="1:2" x14ac:dyDescent="0.35">
      <c r="A66" s="8">
        <v>63</v>
      </c>
      <c r="B66" s="6">
        <v>-2912768.4156646063</v>
      </c>
    </row>
    <row r="67" spans="1:2" x14ac:dyDescent="0.35">
      <c r="A67" s="8">
        <v>64</v>
      </c>
      <c r="B67" s="6">
        <v>-2144565.9401495662</v>
      </c>
    </row>
    <row r="68" spans="1:2" x14ac:dyDescent="0.35">
      <c r="A68" s="8">
        <v>65</v>
      </c>
      <c r="B68" s="6">
        <v>-2021411.1625578771</v>
      </c>
    </row>
    <row r="69" spans="1:2" x14ac:dyDescent="0.35">
      <c r="A69" s="8">
        <v>66</v>
      </c>
      <c r="B69" s="6">
        <v>-1959869.5747510563</v>
      </c>
    </row>
    <row r="70" spans="1:2" x14ac:dyDescent="0.35">
      <c r="A70" s="8">
        <v>67</v>
      </c>
      <c r="B70" s="6">
        <v>-1490342.4873973066</v>
      </c>
    </row>
    <row r="71" spans="1:2" x14ac:dyDescent="0.35">
      <c r="A71" s="8">
        <v>68</v>
      </c>
      <c r="B71" s="6">
        <v>-1419172.6008619079</v>
      </c>
    </row>
    <row r="72" spans="1:2" x14ac:dyDescent="0.35">
      <c r="A72" s="8">
        <v>69</v>
      </c>
      <c r="B72" s="6">
        <v>-1357525.2194850913</v>
      </c>
    </row>
    <row r="73" spans="1:2" x14ac:dyDescent="0.35">
      <c r="A73" s="8">
        <v>70</v>
      </c>
      <c r="B73" s="6">
        <v>-1117948.413189675</v>
      </c>
    </row>
    <row r="74" spans="1:2" x14ac:dyDescent="0.35">
      <c r="A74" s="8">
        <v>71</v>
      </c>
      <c r="B74" s="6">
        <v>-1099830.585349963</v>
      </c>
    </row>
    <row r="75" spans="1:2" x14ac:dyDescent="0.35">
      <c r="A75" s="8">
        <v>72</v>
      </c>
      <c r="B75" s="6">
        <v>-1053214.5041954576</v>
      </c>
    </row>
    <row r="76" spans="1:2" x14ac:dyDescent="0.35">
      <c r="A76" s="8">
        <v>73</v>
      </c>
      <c r="B76" s="6">
        <v>-574556.49086531857</v>
      </c>
    </row>
    <row r="77" spans="1:2" x14ac:dyDescent="0.35">
      <c r="A77" s="8">
        <v>74</v>
      </c>
      <c r="B77" s="6">
        <v>-289953.12372200005</v>
      </c>
    </row>
    <row r="78" spans="1:2" x14ac:dyDescent="0.35">
      <c r="A78" s="8">
        <v>75</v>
      </c>
      <c r="B78" s="6">
        <v>-167703.21907991869</v>
      </c>
    </row>
    <row r="79" spans="1:2" x14ac:dyDescent="0.35">
      <c r="A79" s="8">
        <v>76</v>
      </c>
      <c r="B79" s="6">
        <v>167096.21898425114</v>
      </c>
    </row>
    <row r="80" spans="1:2" x14ac:dyDescent="0.35">
      <c r="A80" s="8">
        <v>77</v>
      </c>
      <c r="B80" s="6">
        <v>632105.59457116597</v>
      </c>
    </row>
    <row r="81" spans="1:2" x14ac:dyDescent="0.35">
      <c r="A81" s="8">
        <v>78</v>
      </c>
      <c r="B81" s="6">
        <v>792161.47037839121</v>
      </c>
    </row>
    <row r="82" spans="1:2" x14ac:dyDescent="0.35">
      <c r="A82" s="8">
        <v>79</v>
      </c>
      <c r="B82" s="6">
        <v>799497.41506510484</v>
      </c>
    </row>
    <row r="83" spans="1:2" x14ac:dyDescent="0.35">
      <c r="A83" s="8">
        <v>80</v>
      </c>
      <c r="B83" s="6">
        <v>833422.76833993336</v>
      </c>
    </row>
    <row r="84" spans="1:2" x14ac:dyDescent="0.35">
      <c r="A84" s="8">
        <v>81</v>
      </c>
      <c r="B84" s="6">
        <v>887506.58412435034</v>
      </c>
    </row>
    <row r="85" spans="1:2" x14ac:dyDescent="0.35">
      <c r="A85" s="8">
        <v>82</v>
      </c>
      <c r="B85" s="6">
        <v>926139.81077934161</v>
      </c>
    </row>
    <row r="86" spans="1:2" x14ac:dyDescent="0.35">
      <c r="A86" s="8">
        <v>83</v>
      </c>
      <c r="B86" s="6">
        <v>987997.3394662831</v>
      </c>
    </row>
    <row r="87" spans="1:2" x14ac:dyDescent="0.35">
      <c r="A87" s="8">
        <v>84</v>
      </c>
      <c r="B87" s="6">
        <v>1004070.3003556284</v>
      </c>
    </row>
    <row r="88" spans="1:2" x14ac:dyDescent="0.35">
      <c r="A88" s="8">
        <v>85</v>
      </c>
      <c r="B88" s="6">
        <v>1006220.3818797712</v>
      </c>
    </row>
    <row r="89" spans="1:2" x14ac:dyDescent="0.35">
      <c r="A89" s="8">
        <v>86</v>
      </c>
      <c r="B89" s="6">
        <v>1009786.4640723497</v>
      </c>
    </row>
    <row r="90" spans="1:2" x14ac:dyDescent="0.35">
      <c r="A90" s="8">
        <v>87</v>
      </c>
      <c r="B90" s="6">
        <v>1023579.5557387378</v>
      </c>
    </row>
    <row r="91" spans="1:2" x14ac:dyDescent="0.35">
      <c r="A91" s="8">
        <v>88</v>
      </c>
      <c r="B91" s="6">
        <v>1024298.155781284</v>
      </c>
    </row>
    <row r="92" spans="1:2" x14ac:dyDescent="0.35">
      <c r="A92" s="8">
        <v>89</v>
      </c>
      <c r="B92" s="6">
        <v>1025260.214248996</v>
      </c>
    </row>
    <row r="93" spans="1:2" x14ac:dyDescent="0.35">
      <c r="A93" s="8">
        <v>90</v>
      </c>
      <c r="B93" s="6">
        <v>1037258.3119073985</v>
      </c>
    </row>
    <row r="94" spans="1:2" x14ac:dyDescent="0.35">
      <c r="A94" s="8">
        <v>91</v>
      </c>
      <c r="B94" s="6">
        <v>1042858.0273336973</v>
      </c>
    </row>
    <row r="95" spans="1:2" x14ac:dyDescent="0.35">
      <c r="A95" s="8">
        <v>92</v>
      </c>
      <c r="B95" s="6">
        <v>1049468.4549980753</v>
      </c>
    </row>
    <row r="96" spans="1:2" x14ac:dyDescent="0.35">
      <c r="A96" s="8">
        <v>93</v>
      </c>
      <c r="B96" s="6">
        <v>1049715.6972942771</v>
      </c>
    </row>
    <row r="97" spans="1:2" x14ac:dyDescent="0.35">
      <c r="A97" s="8">
        <v>94</v>
      </c>
      <c r="B97" s="6">
        <v>1055995.2771899635</v>
      </c>
    </row>
    <row r="98" spans="1:2" x14ac:dyDescent="0.35">
      <c r="A98" s="8">
        <v>95</v>
      </c>
      <c r="B98" s="6">
        <v>1063444.0226601178</v>
      </c>
    </row>
    <row r="99" spans="1:2" x14ac:dyDescent="0.35">
      <c r="A99" s="8">
        <v>96</v>
      </c>
      <c r="B99" s="6">
        <v>1067232.1060786501</v>
      </c>
    </row>
    <row r="100" spans="1:2" x14ac:dyDescent="0.35">
      <c r="A100" s="8">
        <v>97</v>
      </c>
      <c r="B100" s="6">
        <v>1070051.1446888922</v>
      </c>
    </row>
    <row r="101" spans="1:2" x14ac:dyDescent="0.35">
      <c r="A101" s="8">
        <v>98</v>
      </c>
      <c r="B101" s="6">
        <v>1070289.0389953975</v>
      </c>
    </row>
    <row r="102" spans="1:2" x14ac:dyDescent="0.35">
      <c r="A102" s="8">
        <v>99</v>
      </c>
      <c r="B102" s="6">
        <v>1072306.2291051731</v>
      </c>
    </row>
    <row r="103" spans="1:2" x14ac:dyDescent="0.35">
      <c r="A103" s="8">
        <v>100</v>
      </c>
      <c r="B103" s="6">
        <v>1074746.821147009</v>
      </c>
    </row>
    <row r="104" spans="1:2" x14ac:dyDescent="0.35">
      <c r="A104" s="8">
        <v>101</v>
      </c>
      <c r="B104" s="6">
        <v>1077153.0116568543</v>
      </c>
    </row>
    <row r="105" spans="1:2" x14ac:dyDescent="0.35">
      <c r="A105" s="8">
        <v>102</v>
      </c>
      <c r="B105" s="6">
        <v>1083490.6069215357</v>
      </c>
    </row>
    <row r="106" spans="1:2" x14ac:dyDescent="0.35">
      <c r="A106" s="8">
        <v>103</v>
      </c>
      <c r="B106" s="6">
        <v>1088510.164641313</v>
      </c>
    </row>
    <row r="107" spans="1:2" x14ac:dyDescent="0.35">
      <c r="A107" s="8">
        <v>104</v>
      </c>
      <c r="B107" s="6">
        <v>1090017.5408156081</v>
      </c>
    </row>
    <row r="108" spans="1:2" x14ac:dyDescent="0.35">
      <c r="A108" s="8">
        <v>105</v>
      </c>
      <c r="B108" s="6">
        <v>1091784.7132565668</v>
      </c>
    </row>
    <row r="109" spans="1:2" x14ac:dyDescent="0.35">
      <c r="A109" s="8">
        <v>106</v>
      </c>
      <c r="B109" s="6">
        <v>1103612.3926710987</v>
      </c>
    </row>
    <row r="110" spans="1:2" x14ac:dyDescent="0.35">
      <c r="A110" s="8">
        <v>107</v>
      </c>
      <c r="B110" s="6">
        <v>1107704.1043773682</v>
      </c>
    </row>
    <row r="111" spans="1:2" x14ac:dyDescent="0.35">
      <c r="A111" s="8">
        <v>108</v>
      </c>
      <c r="B111" s="6">
        <v>1108991.7571307216</v>
      </c>
    </row>
    <row r="112" spans="1:2" x14ac:dyDescent="0.35">
      <c r="A112" s="8">
        <v>109</v>
      </c>
      <c r="B112" s="6">
        <v>1112941.3551629744</v>
      </c>
    </row>
    <row r="113" spans="1:2" x14ac:dyDescent="0.35">
      <c r="A113" s="8">
        <v>110</v>
      </c>
      <c r="B113" s="6">
        <v>1115273.6134283259</v>
      </c>
    </row>
    <row r="114" spans="1:2" x14ac:dyDescent="0.35">
      <c r="A114" s="8">
        <v>111</v>
      </c>
      <c r="B114" s="6">
        <v>1131121.2866927974</v>
      </c>
    </row>
    <row r="115" spans="1:2" x14ac:dyDescent="0.35">
      <c r="A115" s="8">
        <v>112</v>
      </c>
      <c r="B115" s="6">
        <v>1137402.6459957229</v>
      </c>
    </row>
    <row r="116" spans="1:2" x14ac:dyDescent="0.35">
      <c r="A116" s="8">
        <v>113</v>
      </c>
      <c r="B116" s="6">
        <v>1138841.1360352803</v>
      </c>
    </row>
    <row r="117" spans="1:2" x14ac:dyDescent="0.35">
      <c r="A117" s="8">
        <v>114</v>
      </c>
      <c r="B117" s="6">
        <v>1142075.8201323675</v>
      </c>
    </row>
    <row r="118" spans="1:2" x14ac:dyDescent="0.35">
      <c r="A118" s="8">
        <v>115</v>
      </c>
      <c r="B118" s="6">
        <v>1144131.7688786807</v>
      </c>
    </row>
    <row r="119" spans="1:2" x14ac:dyDescent="0.35">
      <c r="A119" s="8">
        <v>116</v>
      </c>
      <c r="B119" s="6">
        <v>1144356.0921503953</v>
      </c>
    </row>
    <row r="120" spans="1:2" x14ac:dyDescent="0.35">
      <c r="A120" s="8">
        <v>117</v>
      </c>
      <c r="B120" s="6">
        <v>1145792.094987106</v>
      </c>
    </row>
    <row r="121" spans="1:2" x14ac:dyDescent="0.35">
      <c r="A121" s="8">
        <v>118</v>
      </c>
      <c r="B121" s="6">
        <v>1147740.1197836436</v>
      </c>
    </row>
    <row r="122" spans="1:2" x14ac:dyDescent="0.35">
      <c r="A122" s="8">
        <v>119</v>
      </c>
      <c r="B122" s="6">
        <v>1149919.3434811914</v>
      </c>
    </row>
    <row r="123" spans="1:2" x14ac:dyDescent="0.35">
      <c r="A123" s="8">
        <v>120</v>
      </c>
      <c r="B123" s="6">
        <v>1151940.8287364491</v>
      </c>
    </row>
    <row r="124" spans="1:2" x14ac:dyDescent="0.35">
      <c r="A124" s="8">
        <v>121</v>
      </c>
      <c r="B124" s="6">
        <v>1154400.0039422032</v>
      </c>
    </row>
    <row r="125" spans="1:2" x14ac:dyDescent="0.35">
      <c r="A125" s="8">
        <v>122</v>
      </c>
      <c r="B125" s="6">
        <v>1155232.2935751937</v>
      </c>
    </row>
    <row r="126" spans="1:2" x14ac:dyDescent="0.35">
      <c r="A126" s="8">
        <v>123</v>
      </c>
      <c r="B126" s="6">
        <v>1160563.5494839628</v>
      </c>
    </row>
    <row r="127" spans="1:2" x14ac:dyDescent="0.35">
      <c r="A127" s="8">
        <v>124</v>
      </c>
      <c r="B127" s="6">
        <v>1165369.1143291069</v>
      </c>
    </row>
    <row r="128" spans="1:2" x14ac:dyDescent="0.35">
      <c r="A128" s="8">
        <v>125</v>
      </c>
      <c r="B128" s="6">
        <v>1170491.8456679995</v>
      </c>
    </row>
    <row r="129" spans="1:2" x14ac:dyDescent="0.35">
      <c r="A129" s="8">
        <v>126</v>
      </c>
      <c r="B129" s="6">
        <v>1171157.7649355487</v>
      </c>
    </row>
    <row r="130" spans="1:2" x14ac:dyDescent="0.35">
      <c r="A130" s="8">
        <v>127</v>
      </c>
      <c r="B130" s="6">
        <v>1174611.6447091207</v>
      </c>
    </row>
    <row r="131" spans="1:2" x14ac:dyDescent="0.35">
      <c r="A131" s="8">
        <v>128</v>
      </c>
      <c r="B131" s="6">
        <v>1174695.9378979474</v>
      </c>
    </row>
    <row r="132" spans="1:2" x14ac:dyDescent="0.35">
      <c r="A132" s="8">
        <v>129</v>
      </c>
      <c r="B132" s="6">
        <v>1175373.5278762118</v>
      </c>
    </row>
    <row r="133" spans="1:2" x14ac:dyDescent="0.35">
      <c r="A133" s="8">
        <v>130</v>
      </c>
      <c r="B133" s="6">
        <v>1177549.0484090913</v>
      </c>
    </row>
    <row r="134" spans="1:2" x14ac:dyDescent="0.35">
      <c r="A134" s="8">
        <v>131</v>
      </c>
      <c r="B134" s="6">
        <v>1177701.2108857939</v>
      </c>
    </row>
    <row r="135" spans="1:2" x14ac:dyDescent="0.35">
      <c r="A135" s="8">
        <v>132</v>
      </c>
      <c r="B135" s="6">
        <v>1180192.2268498549</v>
      </c>
    </row>
    <row r="136" spans="1:2" x14ac:dyDescent="0.35">
      <c r="A136" s="8">
        <v>133</v>
      </c>
      <c r="B136" s="6">
        <v>1184837.8006301254</v>
      </c>
    </row>
    <row r="137" spans="1:2" x14ac:dyDescent="0.35">
      <c r="A137" s="8">
        <v>134</v>
      </c>
      <c r="B137" s="6">
        <v>1185069.3975889196</v>
      </c>
    </row>
    <row r="138" spans="1:2" x14ac:dyDescent="0.35">
      <c r="A138" s="8">
        <v>135</v>
      </c>
      <c r="B138" s="6">
        <v>1186219.5304138102</v>
      </c>
    </row>
    <row r="139" spans="1:2" x14ac:dyDescent="0.35">
      <c r="A139" s="8">
        <v>136</v>
      </c>
      <c r="B139" s="6">
        <v>1189081.3229101305</v>
      </c>
    </row>
    <row r="140" spans="1:2" x14ac:dyDescent="0.35">
      <c r="A140" s="8">
        <v>137</v>
      </c>
      <c r="B140" s="6">
        <v>1189657.0559218251</v>
      </c>
    </row>
    <row r="141" spans="1:2" x14ac:dyDescent="0.35">
      <c r="A141" s="8">
        <v>138</v>
      </c>
      <c r="B141" s="6">
        <v>1190100.7917733579</v>
      </c>
    </row>
    <row r="142" spans="1:2" x14ac:dyDescent="0.35">
      <c r="A142" s="8">
        <v>139</v>
      </c>
      <c r="B142" s="6">
        <v>1191258.6746897344</v>
      </c>
    </row>
    <row r="143" spans="1:2" x14ac:dyDescent="0.35">
      <c r="A143" s="8">
        <v>140</v>
      </c>
      <c r="B143" s="6">
        <v>1191494.813127215</v>
      </c>
    </row>
    <row r="144" spans="1:2" x14ac:dyDescent="0.35">
      <c r="A144" s="8">
        <v>141</v>
      </c>
      <c r="B144" s="6">
        <v>1194021.0910666008</v>
      </c>
    </row>
    <row r="145" spans="1:2" x14ac:dyDescent="0.35">
      <c r="A145" s="8">
        <v>142</v>
      </c>
      <c r="B145" s="6">
        <v>1194845.2128427732</v>
      </c>
    </row>
    <row r="146" spans="1:2" x14ac:dyDescent="0.35">
      <c r="A146" s="8">
        <v>143</v>
      </c>
      <c r="B146" s="6">
        <v>1195214.0230482309</v>
      </c>
    </row>
    <row r="147" spans="1:2" x14ac:dyDescent="0.35">
      <c r="A147" s="8">
        <v>144</v>
      </c>
      <c r="B147" s="6">
        <v>1196091.1107289058</v>
      </c>
    </row>
    <row r="148" spans="1:2" x14ac:dyDescent="0.35">
      <c r="A148" s="8">
        <v>145</v>
      </c>
      <c r="B148" s="6">
        <v>1197446.0926521532</v>
      </c>
    </row>
    <row r="149" spans="1:2" x14ac:dyDescent="0.35">
      <c r="A149" s="8">
        <v>146</v>
      </c>
      <c r="B149" s="6">
        <v>1201008.8449685313</v>
      </c>
    </row>
    <row r="150" spans="1:2" x14ac:dyDescent="0.35">
      <c r="A150" s="8">
        <v>147</v>
      </c>
      <c r="B150" s="6">
        <v>1202283.167886066</v>
      </c>
    </row>
    <row r="151" spans="1:2" x14ac:dyDescent="0.35">
      <c r="A151" s="8">
        <v>148</v>
      </c>
      <c r="B151" s="6">
        <v>1202767.9693543219</v>
      </c>
    </row>
    <row r="152" spans="1:2" x14ac:dyDescent="0.35">
      <c r="A152" s="8">
        <v>149</v>
      </c>
      <c r="B152" s="6">
        <v>1203859.6549847701</v>
      </c>
    </row>
    <row r="153" spans="1:2" x14ac:dyDescent="0.35">
      <c r="A153" s="8">
        <v>150</v>
      </c>
      <c r="B153" s="6">
        <v>1207680.8928769517</v>
      </c>
    </row>
    <row r="154" spans="1:2" x14ac:dyDescent="0.35">
      <c r="A154" s="8">
        <v>151</v>
      </c>
      <c r="B154" s="6">
        <v>1216796.6184093247</v>
      </c>
    </row>
    <row r="155" spans="1:2" x14ac:dyDescent="0.35">
      <c r="A155" s="8">
        <v>152</v>
      </c>
      <c r="B155" s="6">
        <v>1217907.0557921201</v>
      </c>
    </row>
    <row r="156" spans="1:2" x14ac:dyDescent="0.35">
      <c r="A156" s="8">
        <v>153</v>
      </c>
      <c r="B156" s="6">
        <v>1218518.3952066887</v>
      </c>
    </row>
    <row r="157" spans="1:2" x14ac:dyDescent="0.35">
      <c r="A157" s="8">
        <v>154</v>
      </c>
      <c r="B157" s="6">
        <v>1220233.0470781417</v>
      </c>
    </row>
    <row r="158" spans="1:2" x14ac:dyDescent="0.35">
      <c r="A158" s="8">
        <v>155</v>
      </c>
      <c r="B158" s="6">
        <v>1222100.3758796235</v>
      </c>
    </row>
    <row r="159" spans="1:2" x14ac:dyDescent="0.35">
      <c r="A159" s="8">
        <v>156</v>
      </c>
      <c r="B159" s="6">
        <v>1222435.8739322571</v>
      </c>
    </row>
    <row r="160" spans="1:2" x14ac:dyDescent="0.35">
      <c r="A160" s="8">
        <v>157</v>
      </c>
      <c r="B160" s="6">
        <v>1224078.2204422753</v>
      </c>
    </row>
    <row r="161" spans="1:2" x14ac:dyDescent="0.35">
      <c r="A161" s="8">
        <v>158</v>
      </c>
      <c r="B161" s="6">
        <v>1227160.0863818277</v>
      </c>
    </row>
    <row r="162" spans="1:2" x14ac:dyDescent="0.35">
      <c r="A162" s="8">
        <v>159</v>
      </c>
      <c r="B162" s="6">
        <v>1228236.7139928041</v>
      </c>
    </row>
    <row r="163" spans="1:2" x14ac:dyDescent="0.35">
      <c r="A163" s="8">
        <v>160</v>
      </c>
      <c r="B163" s="6">
        <v>1232757.1314114714</v>
      </c>
    </row>
    <row r="164" spans="1:2" x14ac:dyDescent="0.35">
      <c r="A164" s="8">
        <v>161</v>
      </c>
      <c r="B164" s="6">
        <v>1234398.3562450726</v>
      </c>
    </row>
    <row r="165" spans="1:2" x14ac:dyDescent="0.35">
      <c r="A165" s="8">
        <v>162</v>
      </c>
      <c r="B165" s="6">
        <v>1237172.9599773088</v>
      </c>
    </row>
    <row r="166" spans="1:2" x14ac:dyDescent="0.35">
      <c r="A166" s="8">
        <v>163</v>
      </c>
      <c r="B166" s="6">
        <v>1237641.3807330593</v>
      </c>
    </row>
    <row r="167" spans="1:2" x14ac:dyDescent="0.35">
      <c r="A167" s="8">
        <v>164</v>
      </c>
      <c r="B167" s="6">
        <v>1238821.5938999089</v>
      </c>
    </row>
    <row r="168" spans="1:2" x14ac:dyDescent="0.35">
      <c r="A168" s="8">
        <v>165</v>
      </c>
      <c r="B168" s="6">
        <v>1239019.59083348</v>
      </c>
    </row>
    <row r="169" spans="1:2" x14ac:dyDescent="0.35">
      <c r="A169" s="8">
        <v>166</v>
      </c>
      <c r="B169" s="6">
        <v>1239596.94537089</v>
      </c>
    </row>
    <row r="170" spans="1:2" x14ac:dyDescent="0.35">
      <c r="A170" s="8">
        <v>167</v>
      </c>
      <c r="B170" s="6">
        <v>1241249.8112909277</v>
      </c>
    </row>
    <row r="171" spans="1:2" x14ac:dyDescent="0.35">
      <c r="A171" s="8">
        <v>168</v>
      </c>
      <c r="B171" s="6">
        <v>1241509.3042471467</v>
      </c>
    </row>
    <row r="172" spans="1:2" x14ac:dyDescent="0.35">
      <c r="A172" s="8">
        <v>169</v>
      </c>
      <c r="B172" s="6">
        <v>1244653.0614373491</v>
      </c>
    </row>
    <row r="173" spans="1:2" x14ac:dyDescent="0.35">
      <c r="A173" s="8">
        <v>170</v>
      </c>
      <c r="B173" s="6">
        <v>1244767.8983852691</v>
      </c>
    </row>
    <row r="174" spans="1:2" x14ac:dyDescent="0.35">
      <c r="A174" s="8">
        <v>171</v>
      </c>
      <c r="B174" s="6">
        <v>1246278.2579846624</v>
      </c>
    </row>
    <row r="175" spans="1:2" x14ac:dyDescent="0.35">
      <c r="A175" s="8">
        <v>172</v>
      </c>
      <c r="B175" s="6">
        <v>1246600.8615989657</v>
      </c>
    </row>
    <row r="176" spans="1:2" x14ac:dyDescent="0.35">
      <c r="A176" s="8">
        <v>173</v>
      </c>
      <c r="B176" s="6">
        <v>1248581.2070533491</v>
      </c>
    </row>
    <row r="177" spans="1:2" x14ac:dyDescent="0.35">
      <c r="A177" s="8">
        <v>174</v>
      </c>
      <c r="B177" s="6">
        <v>1250140.6853031362</v>
      </c>
    </row>
    <row r="178" spans="1:2" x14ac:dyDescent="0.35">
      <c r="A178" s="8">
        <v>175</v>
      </c>
      <c r="B178" s="6">
        <v>1250288.0939853429</v>
      </c>
    </row>
    <row r="179" spans="1:2" x14ac:dyDescent="0.35">
      <c r="A179" s="8">
        <v>176</v>
      </c>
      <c r="B179" s="6">
        <v>1251658.2791233696</v>
      </c>
    </row>
    <row r="180" spans="1:2" x14ac:dyDescent="0.35">
      <c r="A180" s="8">
        <v>177</v>
      </c>
      <c r="B180" s="6">
        <v>1253189.9980459516</v>
      </c>
    </row>
    <row r="181" spans="1:2" x14ac:dyDescent="0.35">
      <c r="A181" s="8">
        <v>178</v>
      </c>
      <c r="B181" s="6">
        <v>1259469.3347949528</v>
      </c>
    </row>
    <row r="182" spans="1:2" x14ac:dyDescent="0.35">
      <c r="A182" s="8">
        <v>179</v>
      </c>
      <c r="B182" s="6">
        <v>1259693.3420650279</v>
      </c>
    </row>
    <row r="183" spans="1:2" x14ac:dyDescent="0.35">
      <c r="A183" s="8">
        <v>180</v>
      </c>
      <c r="B183" s="6">
        <v>1260732.4795656458</v>
      </c>
    </row>
    <row r="184" spans="1:2" x14ac:dyDescent="0.35">
      <c r="A184" s="8">
        <v>181</v>
      </c>
      <c r="B184" s="6">
        <v>1266730.6268594002</v>
      </c>
    </row>
    <row r="185" spans="1:2" x14ac:dyDescent="0.35">
      <c r="A185" s="8">
        <v>182</v>
      </c>
      <c r="B185" s="6">
        <v>1266761.1108759358</v>
      </c>
    </row>
    <row r="186" spans="1:2" x14ac:dyDescent="0.35">
      <c r="A186" s="8">
        <v>183</v>
      </c>
      <c r="B186" s="6">
        <v>1267309.194473363</v>
      </c>
    </row>
    <row r="187" spans="1:2" x14ac:dyDescent="0.35">
      <c r="A187" s="8">
        <v>184</v>
      </c>
      <c r="B187" s="6">
        <v>1270166.9556255122</v>
      </c>
    </row>
    <row r="188" spans="1:2" x14ac:dyDescent="0.35">
      <c r="A188" s="8">
        <v>185</v>
      </c>
      <c r="B188" s="6">
        <v>1272970.0212913039</v>
      </c>
    </row>
    <row r="189" spans="1:2" x14ac:dyDescent="0.35">
      <c r="A189" s="8">
        <v>186</v>
      </c>
      <c r="B189" s="6">
        <v>1273493.5181316996</v>
      </c>
    </row>
    <row r="190" spans="1:2" x14ac:dyDescent="0.35">
      <c r="A190" s="8">
        <v>187</v>
      </c>
      <c r="B190" s="6">
        <v>1274999.3933594348</v>
      </c>
    </row>
    <row r="191" spans="1:2" x14ac:dyDescent="0.35">
      <c r="A191" s="8">
        <v>188</v>
      </c>
      <c r="B191" s="6">
        <v>1275711.915520519</v>
      </c>
    </row>
    <row r="192" spans="1:2" x14ac:dyDescent="0.35">
      <c r="A192" s="8">
        <v>189</v>
      </c>
      <c r="B192" s="6">
        <v>1277011.34382847</v>
      </c>
    </row>
    <row r="193" spans="1:2" x14ac:dyDescent="0.35">
      <c r="A193" s="8">
        <v>190</v>
      </c>
      <c r="B193" s="6">
        <v>1278134.5413466911</v>
      </c>
    </row>
    <row r="194" spans="1:2" x14ac:dyDescent="0.35">
      <c r="A194" s="8">
        <v>191</v>
      </c>
      <c r="B194" s="6">
        <v>1280318.3059545825</v>
      </c>
    </row>
    <row r="195" spans="1:2" x14ac:dyDescent="0.35">
      <c r="A195" s="8">
        <v>192</v>
      </c>
      <c r="B195" s="6">
        <v>1282450.0976250651</v>
      </c>
    </row>
    <row r="196" spans="1:2" x14ac:dyDescent="0.35">
      <c r="A196" s="8">
        <v>193</v>
      </c>
      <c r="B196" s="6">
        <v>1282527.7045287827</v>
      </c>
    </row>
    <row r="197" spans="1:2" x14ac:dyDescent="0.35">
      <c r="A197" s="8">
        <v>194</v>
      </c>
      <c r="B197" s="6">
        <v>1284728.5630762796</v>
      </c>
    </row>
    <row r="198" spans="1:2" x14ac:dyDescent="0.35">
      <c r="A198" s="8">
        <v>195</v>
      </c>
      <c r="B198" s="6">
        <v>1285721.4720061398</v>
      </c>
    </row>
    <row r="199" spans="1:2" x14ac:dyDescent="0.35">
      <c r="A199" s="8">
        <v>196</v>
      </c>
      <c r="B199" s="6">
        <v>1286835.2597333202</v>
      </c>
    </row>
    <row r="200" spans="1:2" x14ac:dyDescent="0.35">
      <c r="A200" s="8">
        <v>197</v>
      </c>
      <c r="B200" s="6">
        <v>1290601.6362779909</v>
      </c>
    </row>
    <row r="201" spans="1:2" x14ac:dyDescent="0.35">
      <c r="A201" s="8">
        <v>198</v>
      </c>
      <c r="B201" s="6">
        <v>1291320.540457099</v>
      </c>
    </row>
    <row r="202" spans="1:2" x14ac:dyDescent="0.35">
      <c r="A202" s="8">
        <v>199</v>
      </c>
      <c r="B202" s="6">
        <v>1292867.5296007991</v>
      </c>
    </row>
    <row r="203" spans="1:2" x14ac:dyDescent="0.35">
      <c r="A203" s="8">
        <v>200</v>
      </c>
      <c r="B203" s="6">
        <v>1294449.9963396667</v>
      </c>
    </row>
    <row r="204" spans="1:2" x14ac:dyDescent="0.35">
      <c r="A204" s="8">
        <v>201</v>
      </c>
      <c r="B204" s="6">
        <v>1296349.2273146685</v>
      </c>
    </row>
    <row r="205" spans="1:2" x14ac:dyDescent="0.35">
      <c r="A205" s="8">
        <v>202</v>
      </c>
      <c r="B205" s="6">
        <v>1296556.7050649109</v>
      </c>
    </row>
    <row r="206" spans="1:2" x14ac:dyDescent="0.35">
      <c r="A206" s="8">
        <v>203</v>
      </c>
      <c r="B206" s="6">
        <v>1298939.4675742516</v>
      </c>
    </row>
    <row r="207" spans="1:2" x14ac:dyDescent="0.35">
      <c r="A207" s="8">
        <v>204</v>
      </c>
      <c r="B207" s="6">
        <v>1298990.6065589562</v>
      </c>
    </row>
    <row r="208" spans="1:2" x14ac:dyDescent="0.35">
      <c r="A208" s="8">
        <v>205</v>
      </c>
      <c r="B208" s="6">
        <v>1300350.6496478638</v>
      </c>
    </row>
    <row r="209" spans="1:2" x14ac:dyDescent="0.35">
      <c r="A209" s="8">
        <v>206</v>
      </c>
      <c r="B209" s="6">
        <v>1300533.5488769608</v>
      </c>
    </row>
    <row r="210" spans="1:2" x14ac:dyDescent="0.35">
      <c r="A210" s="8">
        <v>207</v>
      </c>
      <c r="B210" s="6">
        <v>1301229.828661947</v>
      </c>
    </row>
    <row r="211" spans="1:2" x14ac:dyDescent="0.35">
      <c r="A211" s="8">
        <v>208</v>
      </c>
      <c r="B211" s="6">
        <v>1301392.2215726161</v>
      </c>
    </row>
    <row r="212" spans="1:2" x14ac:dyDescent="0.35">
      <c r="A212" s="8">
        <v>209</v>
      </c>
      <c r="B212" s="6">
        <v>1305384.1428403785</v>
      </c>
    </row>
    <row r="213" spans="1:2" x14ac:dyDescent="0.35">
      <c r="A213" s="8">
        <v>210</v>
      </c>
      <c r="B213" s="6">
        <v>1306767.2931084144</v>
      </c>
    </row>
    <row r="214" spans="1:2" x14ac:dyDescent="0.35">
      <c r="A214" s="8">
        <v>211</v>
      </c>
      <c r="B214" s="6">
        <v>1307177.7898666817</v>
      </c>
    </row>
    <row r="215" spans="1:2" x14ac:dyDescent="0.35">
      <c r="A215" s="8">
        <v>212</v>
      </c>
      <c r="B215" s="6">
        <v>1308210.4908323756</v>
      </c>
    </row>
    <row r="216" spans="1:2" x14ac:dyDescent="0.35">
      <c r="A216" s="8">
        <v>213</v>
      </c>
      <c r="B216" s="6">
        <v>1311738.8699587961</v>
      </c>
    </row>
    <row r="217" spans="1:2" x14ac:dyDescent="0.35">
      <c r="A217" s="8">
        <v>214</v>
      </c>
      <c r="B217" s="6">
        <v>1311772.4800004158</v>
      </c>
    </row>
    <row r="218" spans="1:2" x14ac:dyDescent="0.35">
      <c r="A218" s="8">
        <v>215</v>
      </c>
      <c r="B218" s="6">
        <v>1313480.0997625133</v>
      </c>
    </row>
    <row r="219" spans="1:2" x14ac:dyDescent="0.35">
      <c r="A219" s="8">
        <v>216</v>
      </c>
      <c r="B219" s="6">
        <v>1314183.9832756789</v>
      </c>
    </row>
    <row r="220" spans="1:2" x14ac:dyDescent="0.35">
      <c r="A220" s="8">
        <v>217</v>
      </c>
      <c r="B220" s="6">
        <v>1314966.5186852599</v>
      </c>
    </row>
    <row r="221" spans="1:2" x14ac:dyDescent="0.35">
      <c r="A221" s="8">
        <v>218</v>
      </c>
      <c r="B221" s="6">
        <v>1315197.7492390701</v>
      </c>
    </row>
    <row r="222" spans="1:2" x14ac:dyDescent="0.35">
      <c r="A222" s="8">
        <v>219</v>
      </c>
      <c r="B222" s="6">
        <v>1316943.4749732332</v>
      </c>
    </row>
    <row r="223" spans="1:2" x14ac:dyDescent="0.35">
      <c r="A223" s="8">
        <v>220</v>
      </c>
      <c r="B223" s="6">
        <v>1317035.0440627574</v>
      </c>
    </row>
    <row r="224" spans="1:2" x14ac:dyDescent="0.35">
      <c r="A224" s="8">
        <v>221</v>
      </c>
      <c r="B224" s="6">
        <v>1317332.2888056184</v>
      </c>
    </row>
    <row r="225" spans="1:2" x14ac:dyDescent="0.35">
      <c r="A225" s="8">
        <v>222</v>
      </c>
      <c r="B225" s="6">
        <v>1318312.9935294767</v>
      </c>
    </row>
    <row r="226" spans="1:2" x14ac:dyDescent="0.35">
      <c r="A226" s="8">
        <v>223</v>
      </c>
      <c r="B226" s="6">
        <v>1319537.4997367277</v>
      </c>
    </row>
    <row r="227" spans="1:2" x14ac:dyDescent="0.35">
      <c r="A227" s="8">
        <v>224</v>
      </c>
      <c r="B227" s="6">
        <v>1319616.5023744011</v>
      </c>
    </row>
    <row r="228" spans="1:2" x14ac:dyDescent="0.35">
      <c r="A228" s="8">
        <v>225</v>
      </c>
      <c r="B228" s="6">
        <v>1323325.5465185235</v>
      </c>
    </row>
    <row r="229" spans="1:2" x14ac:dyDescent="0.35">
      <c r="A229" s="8">
        <v>226</v>
      </c>
      <c r="B229" s="6">
        <v>1324183.6495375836</v>
      </c>
    </row>
    <row r="230" spans="1:2" x14ac:dyDescent="0.35">
      <c r="A230" s="8">
        <v>227</v>
      </c>
      <c r="B230" s="6">
        <v>1324271.9581251771</v>
      </c>
    </row>
    <row r="231" spans="1:2" x14ac:dyDescent="0.35">
      <c r="A231" s="8">
        <v>228</v>
      </c>
      <c r="B231" s="6">
        <v>1325336.2534362224</v>
      </c>
    </row>
    <row r="232" spans="1:2" x14ac:dyDescent="0.35">
      <c r="A232" s="8">
        <v>229</v>
      </c>
      <c r="B232" s="6">
        <v>1326356.3362430867</v>
      </c>
    </row>
    <row r="233" spans="1:2" x14ac:dyDescent="0.35">
      <c r="A233" s="8">
        <v>230</v>
      </c>
      <c r="B233" s="6">
        <v>1326976.9396775684</v>
      </c>
    </row>
    <row r="234" spans="1:2" x14ac:dyDescent="0.35">
      <c r="A234" s="8">
        <v>231</v>
      </c>
      <c r="B234" s="6">
        <v>1327587.9271756583</v>
      </c>
    </row>
    <row r="235" spans="1:2" x14ac:dyDescent="0.35">
      <c r="A235" s="8">
        <v>232</v>
      </c>
      <c r="B235" s="6">
        <v>1327787.6027248602</v>
      </c>
    </row>
    <row r="236" spans="1:2" x14ac:dyDescent="0.35">
      <c r="A236" s="8">
        <v>233</v>
      </c>
      <c r="B236" s="6">
        <v>1329047.4265546566</v>
      </c>
    </row>
    <row r="237" spans="1:2" x14ac:dyDescent="0.35">
      <c r="A237" s="8">
        <v>234</v>
      </c>
      <c r="B237" s="6">
        <v>1331762.5354272195</v>
      </c>
    </row>
    <row r="238" spans="1:2" x14ac:dyDescent="0.35">
      <c r="A238" s="8">
        <v>235</v>
      </c>
      <c r="B238" s="6">
        <v>1336911.4837894693</v>
      </c>
    </row>
    <row r="239" spans="1:2" x14ac:dyDescent="0.35">
      <c r="A239" s="8">
        <v>236</v>
      </c>
      <c r="B239" s="6">
        <v>1337171.9437188061</v>
      </c>
    </row>
    <row r="240" spans="1:2" x14ac:dyDescent="0.35">
      <c r="A240" s="8">
        <v>237</v>
      </c>
      <c r="B240" s="6">
        <v>1337406.5767262315</v>
      </c>
    </row>
    <row r="241" spans="1:2" x14ac:dyDescent="0.35">
      <c r="A241" s="8">
        <v>238</v>
      </c>
      <c r="B241" s="6">
        <v>1338797.4048932311</v>
      </c>
    </row>
    <row r="242" spans="1:2" x14ac:dyDescent="0.35">
      <c r="A242" s="8">
        <v>239</v>
      </c>
      <c r="B242" s="6">
        <v>1339397.3621535157</v>
      </c>
    </row>
    <row r="243" spans="1:2" x14ac:dyDescent="0.35">
      <c r="A243" s="8">
        <v>240</v>
      </c>
      <c r="B243" s="6">
        <v>1339858.0838659341</v>
      </c>
    </row>
    <row r="244" spans="1:2" x14ac:dyDescent="0.35">
      <c r="A244" s="8">
        <v>241</v>
      </c>
      <c r="B244" s="6">
        <v>1340172.5096771047</v>
      </c>
    </row>
    <row r="245" spans="1:2" x14ac:dyDescent="0.35">
      <c r="A245" s="8">
        <v>242</v>
      </c>
      <c r="B245" s="6">
        <v>1340486.1406375309</v>
      </c>
    </row>
    <row r="246" spans="1:2" x14ac:dyDescent="0.35">
      <c r="A246" s="8">
        <v>243</v>
      </c>
      <c r="B246" s="6">
        <v>1341716.5848645712</v>
      </c>
    </row>
    <row r="247" spans="1:2" x14ac:dyDescent="0.35">
      <c r="A247" s="8">
        <v>244</v>
      </c>
      <c r="B247" s="6">
        <v>1343023.2912654562</v>
      </c>
    </row>
    <row r="248" spans="1:2" x14ac:dyDescent="0.35">
      <c r="A248" s="8">
        <v>245</v>
      </c>
      <c r="B248" s="6">
        <v>1344498.6691987857</v>
      </c>
    </row>
    <row r="249" spans="1:2" x14ac:dyDescent="0.35">
      <c r="A249" s="8">
        <v>246</v>
      </c>
      <c r="B249" s="6">
        <v>1344561.0989993745</v>
      </c>
    </row>
    <row r="250" spans="1:2" x14ac:dyDescent="0.35">
      <c r="A250" s="8">
        <v>247</v>
      </c>
      <c r="B250" s="6">
        <v>1345342.8392844815</v>
      </c>
    </row>
    <row r="251" spans="1:2" x14ac:dyDescent="0.35">
      <c r="A251" s="8">
        <v>248</v>
      </c>
      <c r="B251" s="6">
        <v>1348641.1981086638</v>
      </c>
    </row>
    <row r="252" spans="1:2" x14ac:dyDescent="0.35">
      <c r="A252" s="8">
        <v>249</v>
      </c>
      <c r="B252" s="6">
        <v>1350216.794523472</v>
      </c>
    </row>
    <row r="253" spans="1:2" x14ac:dyDescent="0.35">
      <c r="A253" s="8">
        <v>250</v>
      </c>
      <c r="B253" s="6">
        <v>1354159.5080492466</v>
      </c>
    </row>
    <row r="254" spans="1:2" x14ac:dyDescent="0.35">
      <c r="A254" s="8">
        <v>251</v>
      </c>
      <c r="B254" s="6">
        <v>1354892.9202430472</v>
      </c>
    </row>
    <row r="255" spans="1:2" x14ac:dyDescent="0.35">
      <c r="A255" s="8">
        <v>252</v>
      </c>
      <c r="B255" s="6">
        <v>1356439.4117274713</v>
      </c>
    </row>
    <row r="256" spans="1:2" x14ac:dyDescent="0.35">
      <c r="A256" s="8">
        <v>253</v>
      </c>
      <c r="B256" s="6">
        <v>1356806.7175541152</v>
      </c>
    </row>
    <row r="257" spans="1:2" x14ac:dyDescent="0.35">
      <c r="A257" s="8">
        <v>254</v>
      </c>
      <c r="B257" s="6">
        <v>1360198.6329235407</v>
      </c>
    </row>
    <row r="258" spans="1:2" x14ac:dyDescent="0.35">
      <c r="A258" s="8">
        <v>255</v>
      </c>
      <c r="B258" s="6">
        <v>1361225.3005041666</v>
      </c>
    </row>
    <row r="259" spans="1:2" x14ac:dyDescent="0.35">
      <c r="A259" s="8">
        <v>256</v>
      </c>
      <c r="B259" s="6">
        <v>1362376.0884892473</v>
      </c>
    </row>
    <row r="260" spans="1:2" x14ac:dyDescent="0.35">
      <c r="A260" s="8">
        <v>257</v>
      </c>
      <c r="B260" s="6">
        <v>1362677.5731356591</v>
      </c>
    </row>
    <row r="261" spans="1:2" x14ac:dyDescent="0.35">
      <c r="A261" s="8">
        <v>258</v>
      </c>
      <c r="B261" s="6">
        <v>1362915.0490018532</v>
      </c>
    </row>
    <row r="262" spans="1:2" x14ac:dyDescent="0.35">
      <c r="A262" s="8">
        <v>259</v>
      </c>
      <c r="B262" s="6">
        <v>1364146.7537000184</v>
      </c>
    </row>
    <row r="263" spans="1:2" x14ac:dyDescent="0.35">
      <c r="A263" s="8">
        <v>260</v>
      </c>
      <c r="B263" s="6">
        <v>1364586.149875954</v>
      </c>
    </row>
    <row r="264" spans="1:2" x14ac:dyDescent="0.35">
      <c r="A264" s="8">
        <v>261</v>
      </c>
      <c r="B264" s="6">
        <v>1366042.7613139702</v>
      </c>
    </row>
    <row r="265" spans="1:2" x14ac:dyDescent="0.35">
      <c r="A265" s="8">
        <v>262</v>
      </c>
      <c r="B265" s="6">
        <v>1366137.9671883304</v>
      </c>
    </row>
    <row r="266" spans="1:2" x14ac:dyDescent="0.35">
      <c r="A266" s="8">
        <v>263</v>
      </c>
      <c r="B266" s="6">
        <v>1367427.9008551349</v>
      </c>
    </row>
    <row r="267" spans="1:2" x14ac:dyDescent="0.35">
      <c r="A267" s="8">
        <v>264</v>
      </c>
      <c r="B267" s="6">
        <v>1367910.6317407154</v>
      </c>
    </row>
    <row r="268" spans="1:2" x14ac:dyDescent="0.35">
      <c r="A268" s="8">
        <v>265</v>
      </c>
      <c r="B268" s="6">
        <v>1368754.278778523</v>
      </c>
    </row>
    <row r="269" spans="1:2" x14ac:dyDescent="0.35">
      <c r="A269" s="8">
        <v>266</v>
      </c>
      <c r="B269" s="6">
        <v>1369640.8532683395</v>
      </c>
    </row>
    <row r="270" spans="1:2" x14ac:dyDescent="0.35">
      <c r="A270" s="8">
        <v>267</v>
      </c>
      <c r="B270" s="6">
        <v>1369785.7360852486</v>
      </c>
    </row>
    <row r="271" spans="1:2" x14ac:dyDescent="0.35">
      <c r="A271" s="8">
        <v>268</v>
      </c>
      <c r="B271" s="6">
        <v>1371653.0211797783</v>
      </c>
    </row>
    <row r="272" spans="1:2" x14ac:dyDescent="0.35">
      <c r="A272" s="8">
        <v>269</v>
      </c>
      <c r="B272" s="6">
        <v>1374513.2198516524</v>
      </c>
    </row>
    <row r="273" spans="1:2" x14ac:dyDescent="0.35">
      <c r="A273" s="8">
        <v>270</v>
      </c>
      <c r="B273" s="6">
        <v>1374945.020305959</v>
      </c>
    </row>
    <row r="274" spans="1:2" x14ac:dyDescent="0.35">
      <c r="A274" s="8">
        <v>271</v>
      </c>
      <c r="B274" s="6">
        <v>1375361.0732636016</v>
      </c>
    </row>
    <row r="275" spans="1:2" x14ac:dyDescent="0.35">
      <c r="A275" s="8">
        <v>272</v>
      </c>
      <c r="B275" s="6">
        <v>1377054.2388500939</v>
      </c>
    </row>
    <row r="276" spans="1:2" x14ac:dyDescent="0.35">
      <c r="A276" s="8">
        <v>273</v>
      </c>
      <c r="B276" s="6">
        <v>1377912.7937261385</v>
      </c>
    </row>
    <row r="277" spans="1:2" x14ac:dyDescent="0.35">
      <c r="A277" s="8">
        <v>274</v>
      </c>
      <c r="B277" s="6">
        <v>1380010.9391862946</v>
      </c>
    </row>
    <row r="278" spans="1:2" x14ac:dyDescent="0.35">
      <c r="A278" s="8">
        <v>275</v>
      </c>
      <c r="B278" s="6">
        <v>1380528.8129915097</v>
      </c>
    </row>
    <row r="279" spans="1:2" x14ac:dyDescent="0.35">
      <c r="A279" s="8">
        <v>276</v>
      </c>
      <c r="B279" s="6">
        <v>1381387.8293065052</v>
      </c>
    </row>
    <row r="280" spans="1:2" x14ac:dyDescent="0.35">
      <c r="A280" s="8">
        <v>277</v>
      </c>
      <c r="B280" s="6">
        <v>1381886.3908459533</v>
      </c>
    </row>
    <row r="281" spans="1:2" x14ac:dyDescent="0.35">
      <c r="A281" s="8">
        <v>278</v>
      </c>
      <c r="B281" s="6">
        <v>1382469.2422867254</v>
      </c>
    </row>
    <row r="282" spans="1:2" x14ac:dyDescent="0.35">
      <c r="A282" s="8">
        <v>279</v>
      </c>
      <c r="B282" s="6">
        <v>1384614.0345107762</v>
      </c>
    </row>
    <row r="283" spans="1:2" x14ac:dyDescent="0.35">
      <c r="A283" s="8">
        <v>280</v>
      </c>
      <c r="B283" s="6">
        <v>1386880.9844185114</v>
      </c>
    </row>
    <row r="284" spans="1:2" x14ac:dyDescent="0.35">
      <c r="A284" s="8">
        <v>281</v>
      </c>
      <c r="B284" s="6">
        <v>1388110.5005619996</v>
      </c>
    </row>
    <row r="285" spans="1:2" x14ac:dyDescent="0.35">
      <c r="A285" s="8">
        <v>282</v>
      </c>
      <c r="B285" s="6">
        <v>1389765.3836347524</v>
      </c>
    </row>
    <row r="286" spans="1:2" x14ac:dyDescent="0.35">
      <c r="A286" s="8">
        <v>283</v>
      </c>
      <c r="B286" s="6">
        <v>1389828.2877054</v>
      </c>
    </row>
    <row r="287" spans="1:2" x14ac:dyDescent="0.35">
      <c r="A287" s="8">
        <v>284</v>
      </c>
      <c r="B287" s="6">
        <v>1391851.3882241417</v>
      </c>
    </row>
    <row r="288" spans="1:2" x14ac:dyDescent="0.35">
      <c r="A288" s="8">
        <v>285</v>
      </c>
      <c r="B288" s="6">
        <v>1392779.9089567913</v>
      </c>
    </row>
    <row r="289" spans="1:2" x14ac:dyDescent="0.35">
      <c r="A289" s="8">
        <v>286</v>
      </c>
      <c r="B289" s="6">
        <v>1393133.0383847719</v>
      </c>
    </row>
    <row r="290" spans="1:2" x14ac:dyDescent="0.35">
      <c r="A290" s="8">
        <v>287</v>
      </c>
      <c r="B290" s="6">
        <v>1394510.0128770245</v>
      </c>
    </row>
    <row r="291" spans="1:2" x14ac:dyDescent="0.35">
      <c r="A291" s="8">
        <v>288</v>
      </c>
      <c r="B291" s="6">
        <v>1396447.1308483914</v>
      </c>
    </row>
    <row r="292" spans="1:2" x14ac:dyDescent="0.35">
      <c r="A292" s="8">
        <v>289</v>
      </c>
      <c r="B292" s="6">
        <v>1398339.3676474188</v>
      </c>
    </row>
    <row r="293" spans="1:2" x14ac:dyDescent="0.35">
      <c r="A293" s="8">
        <v>290</v>
      </c>
      <c r="B293" s="6">
        <v>1399435.6156827977</v>
      </c>
    </row>
    <row r="294" spans="1:2" x14ac:dyDescent="0.35">
      <c r="A294" s="8">
        <v>291</v>
      </c>
      <c r="B294" s="6">
        <v>1399504.5856791867</v>
      </c>
    </row>
    <row r="295" spans="1:2" x14ac:dyDescent="0.35">
      <c r="A295" s="8">
        <v>292</v>
      </c>
      <c r="B295" s="6">
        <v>1400270.9504163517</v>
      </c>
    </row>
    <row r="296" spans="1:2" x14ac:dyDescent="0.35">
      <c r="A296" s="8">
        <v>293</v>
      </c>
      <c r="B296" s="6">
        <v>1401611.0808333124</v>
      </c>
    </row>
    <row r="297" spans="1:2" x14ac:dyDescent="0.35">
      <c r="A297" s="8">
        <v>294</v>
      </c>
      <c r="B297" s="6">
        <v>1404513.9406072542</v>
      </c>
    </row>
    <row r="298" spans="1:2" x14ac:dyDescent="0.35">
      <c r="A298" s="8">
        <v>295</v>
      </c>
      <c r="B298" s="6">
        <v>1404837.5415063889</v>
      </c>
    </row>
    <row r="299" spans="1:2" x14ac:dyDescent="0.35">
      <c r="A299" s="8">
        <v>296</v>
      </c>
      <c r="B299" s="6">
        <v>1406494.263395214</v>
      </c>
    </row>
    <row r="300" spans="1:2" x14ac:dyDescent="0.35">
      <c r="A300" s="8">
        <v>297</v>
      </c>
      <c r="B300" s="6">
        <v>1406694.5159120986</v>
      </c>
    </row>
    <row r="301" spans="1:2" x14ac:dyDescent="0.35">
      <c r="A301" s="8">
        <v>298</v>
      </c>
      <c r="B301" s="6">
        <v>1407995.0176116526</v>
      </c>
    </row>
    <row r="302" spans="1:2" x14ac:dyDescent="0.35">
      <c r="A302" s="8">
        <v>299</v>
      </c>
      <c r="B302" s="6">
        <v>1408403.262677541</v>
      </c>
    </row>
    <row r="303" spans="1:2" x14ac:dyDescent="0.35">
      <c r="A303" s="8">
        <v>300</v>
      </c>
      <c r="B303" s="6">
        <v>1408640.319060174</v>
      </c>
    </row>
    <row r="304" spans="1:2" x14ac:dyDescent="0.35">
      <c r="A304" s="8">
        <v>301</v>
      </c>
      <c r="B304" s="6">
        <v>1408747.1875678999</v>
      </c>
    </row>
    <row r="305" spans="1:2" x14ac:dyDescent="0.35">
      <c r="A305" s="8">
        <v>302</v>
      </c>
      <c r="B305" s="6">
        <v>1408747.9264614293</v>
      </c>
    </row>
    <row r="306" spans="1:2" x14ac:dyDescent="0.35">
      <c r="A306" s="8">
        <v>303</v>
      </c>
      <c r="B306" s="6">
        <v>1410757.7480530688</v>
      </c>
    </row>
    <row r="307" spans="1:2" x14ac:dyDescent="0.35">
      <c r="A307" s="8">
        <v>304</v>
      </c>
      <c r="B307" s="6">
        <v>1414648.582124992</v>
      </c>
    </row>
    <row r="308" spans="1:2" x14ac:dyDescent="0.35">
      <c r="A308" s="8">
        <v>305</v>
      </c>
      <c r="B308" s="6">
        <v>1418053.6104388346</v>
      </c>
    </row>
    <row r="309" spans="1:2" x14ac:dyDescent="0.35">
      <c r="A309" s="8">
        <v>306</v>
      </c>
      <c r="B309" s="6">
        <v>1418840.0717700059</v>
      </c>
    </row>
    <row r="310" spans="1:2" x14ac:dyDescent="0.35">
      <c r="A310" s="8">
        <v>307</v>
      </c>
      <c r="B310" s="6">
        <v>1420804.9473659808</v>
      </c>
    </row>
    <row r="311" spans="1:2" x14ac:dyDescent="0.35">
      <c r="A311" s="8">
        <v>308</v>
      </c>
      <c r="B311" s="6">
        <v>1421380.0849260793</v>
      </c>
    </row>
    <row r="312" spans="1:2" x14ac:dyDescent="0.35">
      <c r="A312" s="8">
        <v>309</v>
      </c>
      <c r="B312" s="6">
        <v>1422655.5718575285</v>
      </c>
    </row>
    <row r="313" spans="1:2" x14ac:dyDescent="0.35">
      <c r="A313" s="8">
        <v>310</v>
      </c>
      <c r="B313" s="6">
        <v>1423080.0628519058</v>
      </c>
    </row>
    <row r="314" spans="1:2" x14ac:dyDescent="0.35">
      <c r="A314" s="8">
        <v>311</v>
      </c>
      <c r="B314" s="6">
        <v>1423421.1907493526</v>
      </c>
    </row>
    <row r="315" spans="1:2" x14ac:dyDescent="0.35">
      <c r="A315" s="8">
        <v>312</v>
      </c>
      <c r="B315" s="6">
        <v>1423547.5151098731</v>
      </c>
    </row>
    <row r="316" spans="1:2" x14ac:dyDescent="0.35">
      <c r="A316" s="8">
        <v>313</v>
      </c>
      <c r="B316" s="6">
        <v>1423792.7788037867</v>
      </c>
    </row>
    <row r="317" spans="1:2" x14ac:dyDescent="0.35">
      <c r="A317" s="8">
        <v>314</v>
      </c>
      <c r="B317" s="6">
        <v>1424338.053818133</v>
      </c>
    </row>
    <row r="318" spans="1:2" x14ac:dyDescent="0.35">
      <c r="A318" s="8">
        <v>315</v>
      </c>
      <c r="B318" s="6">
        <v>1425150.9142517522</v>
      </c>
    </row>
    <row r="319" spans="1:2" x14ac:dyDescent="0.35">
      <c r="A319" s="8">
        <v>316</v>
      </c>
      <c r="B319" s="6">
        <v>1426571.4737717272</v>
      </c>
    </row>
    <row r="320" spans="1:2" x14ac:dyDescent="0.35">
      <c r="A320" s="8">
        <v>317</v>
      </c>
      <c r="B320" s="6">
        <v>1426917.3603513709</v>
      </c>
    </row>
    <row r="321" spans="1:2" x14ac:dyDescent="0.35">
      <c r="A321" s="8">
        <v>318</v>
      </c>
      <c r="B321" s="6">
        <v>1426995.0342879286</v>
      </c>
    </row>
    <row r="322" spans="1:2" x14ac:dyDescent="0.35">
      <c r="A322" s="8">
        <v>319</v>
      </c>
      <c r="B322" s="6">
        <v>1427119.0638647019</v>
      </c>
    </row>
    <row r="323" spans="1:2" x14ac:dyDescent="0.35">
      <c r="A323" s="8">
        <v>320</v>
      </c>
      <c r="B323" s="6">
        <v>1428397.4711861606</v>
      </c>
    </row>
    <row r="324" spans="1:2" x14ac:dyDescent="0.35">
      <c r="A324" s="8">
        <v>321</v>
      </c>
      <c r="B324" s="6">
        <v>1428945.3644615696</v>
      </c>
    </row>
    <row r="325" spans="1:2" x14ac:dyDescent="0.35">
      <c r="A325" s="8">
        <v>322</v>
      </c>
      <c r="B325" s="6">
        <v>1430567.6459498866</v>
      </c>
    </row>
    <row r="326" spans="1:2" x14ac:dyDescent="0.35">
      <c r="A326" s="8">
        <v>323</v>
      </c>
      <c r="B326" s="6">
        <v>1431148.6565513262</v>
      </c>
    </row>
    <row r="327" spans="1:2" x14ac:dyDescent="0.35">
      <c r="A327" s="8">
        <v>324</v>
      </c>
      <c r="B327" s="6">
        <v>1433659.2467328366</v>
      </c>
    </row>
    <row r="328" spans="1:2" x14ac:dyDescent="0.35">
      <c r="A328" s="8">
        <v>325</v>
      </c>
      <c r="B328" s="6">
        <v>1433860.3389258271</v>
      </c>
    </row>
    <row r="329" spans="1:2" x14ac:dyDescent="0.35">
      <c r="A329" s="8">
        <v>326</v>
      </c>
      <c r="B329" s="6">
        <v>1435079.9948245354</v>
      </c>
    </row>
    <row r="330" spans="1:2" x14ac:dyDescent="0.35">
      <c r="A330" s="8">
        <v>327</v>
      </c>
      <c r="B330" s="6">
        <v>1435545.5837496491</v>
      </c>
    </row>
    <row r="331" spans="1:2" x14ac:dyDescent="0.35">
      <c r="A331" s="8">
        <v>328</v>
      </c>
      <c r="B331" s="6">
        <v>1437580.0541517795</v>
      </c>
    </row>
    <row r="332" spans="1:2" x14ac:dyDescent="0.35">
      <c r="A332" s="8">
        <v>329</v>
      </c>
      <c r="B332" s="6">
        <v>1437856.6308168524</v>
      </c>
    </row>
    <row r="333" spans="1:2" x14ac:dyDescent="0.35">
      <c r="A333" s="8">
        <v>330</v>
      </c>
      <c r="B333" s="6">
        <v>1439689.0764950146</v>
      </c>
    </row>
    <row r="334" spans="1:2" x14ac:dyDescent="0.35">
      <c r="A334" s="8">
        <v>331</v>
      </c>
      <c r="B334" s="6">
        <v>1439787.3413648277</v>
      </c>
    </row>
    <row r="335" spans="1:2" x14ac:dyDescent="0.35">
      <c r="A335" s="8">
        <v>332</v>
      </c>
      <c r="B335" s="6">
        <v>1440053.3346163887</v>
      </c>
    </row>
    <row r="336" spans="1:2" x14ac:dyDescent="0.35">
      <c r="A336" s="8">
        <v>333</v>
      </c>
      <c r="B336" s="6">
        <v>1440546.5642049394</v>
      </c>
    </row>
    <row r="337" spans="1:2" x14ac:dyDescent="0.35">
      <c r="A337" s="8">
        <v>334</v>
      </c>
      <c r="B337" s="6">
        <v>1441937.5332044719</v>
      </c>
    </row>
    <row r="338" spans="1:2" x14ac:dyDescent="0.35">
      <c r="A338" s="8">
        <v>335</v>
      </c>
      <c r="B338" s="6">
        <v>1442089.0340598891</v>
      </c>
    </row>
    <row r="339" spans="1:2" x14ac:dyDescent="0.35">
      <c r="A339" s="8">
        <v>336</v>
      </c>
      <c r="B339" s="6">
        <v>1442478.5055446392</v>
      </c>
    </row>
    <row r="340" spans="1:2" x14ac:dyDescent="0.35">
      <c r="A340" s="8">
        <v>337</v>
      </c>
      <c r="B340" s="6">
        <v>1442641.0584611329</v>
      </c>
    </row>
    <row r="341" spans="1:2" x14ac:dyDescent="0.35">
      <c r="A341" s="8">
        <v>338</v>
      </c>
      <c r="B341" s="6">
        <v>1443025.6419548402</v>
      </c>
    </row>
    <row r="342" spans="1:2" x14ac:dyDescent="0.35">
      <c r="A342" s="8">
        <v>339</v>
      </c>
      <c r="B342" s="6">
        <v>1444295.1544299291</v>
      </c>
    </row>
    <row r="343" spans="1:2" x14ac:dyDescent="0.35">
      <c r="A343" s="8">
        <v>340</v>
      </c>
      <c r="B343" s="6">
        <v>1445834.1028850465</v>
      </c>
    </row>
    <row r="344" spans="1:2" x14ac:dyDescent="0.35">
      <c r="A344" s="8">
        <v>341</v>
      </c>
      <c r="B344" s="6">
        <v>1446219.8072676156</v>
      </c>
    </row>
    <row r="345" spans="1:2" x14ac:dyDescent="0.35">
      <c r="A345" s="8">
        <v>342</v>
      </c>
      <c r="B345" s="6">
        <v>1446285.8844520207</v>
      </c>
    </row>
    <row r="346" spans="1:2" x14ac:dyDescent="0.35">
      <c r="A346" s="8">
        <v>343</v>
      </c>
      <c r="B346" s="6">
        <v>1447422.919768498</v>
      </c>
    </row>
    <row r="347" spans="1:2" x14ac:dyDescent="0.35">
      <c r="A347" s="8">
        <v>344</v>
      </c>
      <c r="B347" s="6">
        <v>1448456.6032529443</v>
      </c>
    </row>
    <row r="348" spans="1:2" x14ac:dyDescent="0.35">
      <c r="A348" s="8">
        <v>345</v>
      </c>
      <c r="B348" s="6">
        <v>1448558.0038303172</v>
      </c>
    </row>
    <row r="349" spans="1:2" x14ac:dyDescent="0.35">
      <c r="A349" s="8">
        <v>346</v>
      </c>
      <c r="B349" s="6">
        <v>1450331.8086942565</v>
      </c>
    </row>
    <row r="350" spans="1:2" x14ac:dyDescent="0.35">
      <c r="A350" s="8">
        <v>347</v>
      </c>
      <c r="B350" s="6">
        <v>1451548.2210355611</v>
      </c>
    </row>
    <row r="351" spans="1:2" x14ac:dyDescent="0.35">
      <c r="A351" s="8">
        <v>348</v>
      </c>
      <c r="B351" s="6">
        <v>1451832.719845105</v>
      </c>
    </row>
    <row r="352" spans="1:2" x14ac:dyDescent="0.35">
      <c r="A352" s="8">
        <v>349</v>
      </c>
      <c r="B352" s="6">
        <v>1452364.0051285555</v>
      </c>
    </row>
    <row r="353" spans="1:2" x14ac:dyDescent="0.35">
      <c r="A353" s="8">
        <v>350</v>
      </c>
      <c r="B353" s="6">
        <v>1453098.3963650111</v>
      </c>
    </row>
    <row r="354" spans="1:2" x14ac:dyDescent="0.35">
      <c r="A354" s="8">
        <v>351</v>
      </c>
      <c r="B354" s="6">
        <v>1453461.7367857918</v>
      </c>
    </row>
    <row r="355" spans="1:2" x14ac:dyDescent="0.35">
      <c r="A355" s="8">
        <v>352</v>
      </c>
      <c r="B355" s="6">
        <v>1454683.1566521234</v>
      </c>
    </row>
    <row r="356" spans="1:2" x14ac:dyDescent="0.35">
      <c r="A356" s="8">
        <v>353</v>
      </c>
      <c r="B356" s="6">
        <v>1454728.4970855806</v>
      </c>
    </row>
    <row r="357" spans="1:2" x14ac:dyDescent="0.35">
      <c r="A357" s="8">
        <v>354</v>
      </c>
      <c r="B357" s="6">
        <v>1455738.4119051585</v>
      </c>
    </row>
    <row r="358" spans="1:2" x14ac:dyDescent="0.35">
      <c r="A358" s="8">
        <v>355</v>
      </c>
      <c r="B358" s="6">
        <v>1455761.901058442</v>
      </c>
    </row>
    <row r="359" spans="1:2" x14ac:dyDescent="0.35">
      <c r="A359" s="8">
        <v>356</v>
      </c>
      <c r="B359" s="6">
        <v>1456421.0537513006</v>
      </c>
    </row>
    <row r="360" spans="1:2" x14ac:dyDescent="0.35">
      <c r="A360" s="8">
        <v>357</v>
      </c>
      <c r="B360" s="6">
        <v>1457016.5003423283</v>
      </c>
    </row>
    <row r="361" spans="1:2" x14ac:dyDescent="0.35">
      <c r="A361" s="8">
        <v>358</v>
      </c>
      <c r="B361" s="6">
        <v>1459273.4803856798</v>
      </c>
    </row>
    <row r="362" spans="1:2" x14ac:dyDescent="0.35">
      <c r="A362" s="8">
        <v>359</v>
      </c>
      <c r="B362" s="6">
        <v>1459412.8917893122</v>
      </c>
    </row>
    <row r="363" spans="1:2" x14ac:dyDescent="0.35">
      <c r="A363" s="8">
        <v>360</v>
      </c>
      <c r="B363" s="6">
        <v>1459529.5434352709</v>
      </c>
    </row>
    <row r="364" spans="1:2" x14ac:dyDescent="0.35">
      <c r="A364" s="8">
        <v>361</v>
      </c>
      <c r="B364" s="6">
        <v>1459725.8875056722</v>
      </c>
    </row>
    <row r="365" spans="1:2" x14ac:dyDescent="0.35">
      <c r="A365" s="8">
        <v>362</v>
      </c>
      <c r="B365" s="6">
        <v>1460058.9707960263</v>
      </c>
    </row>
    <row r="366" spans="1:2" x14ac:dyDescent="0.35">
      <c r="A366" s="8">
        <v>363</v>
      </c>
      <c r="B366" s="6">
        <v>1460247.0596797033</v>
      </c>
    </row>
    <row r="367" spans="1:2" x14ac:dyDescent="0.35">
      <c r="A367" s="8">
        <v>364</v>
      </c>
      <c r="B367" s="6">
        <v>1460247.2176201222</v>
      </c>
    </row>
    <row r="368" spans="1:2" x14ac:dyDescent="0.35">
      <c r="A368" s="8">
        <v>365</v>
      </c>
      <c r="B368" s="6">
        <v>1461096.4904267024</v>
      </c>
    </row>
    <row r="369" spans="1:2" x14ac:dyDescent="0.35">
      <c r="A369" s="8">
        <v>366</v>
      </c>
      <c r="B369" s="6">
        <v>1461974.7506265724</v>
      </c>
    </row>
    <row r="370" spans="1:2" x14ac:dyDescent="0.35">
      <c r="A370" s="8">
        <v>367</v>
      </c>
      <c r="B370" s="6">
        <v>1466099.1258697174</v>
      </c>
    </row>
    <row r="371" spans="1:2" x14ac:dyDescent="0.35">
      <c r="A371" s="8">
        <v>368</v>
      </c>
      <c r="B371" s="6">
        <v>1466561.7183924366</v>
      </c>
    </row>
    <row r="372" spans="1:2" x14ac:dyDescent="0.35">
      <c r="A372" s="8">
        <v>369</v>
      </c>
      <c r="B372" s="6">
        <v>1466689.9943681173</v>
      </c>
    </row>
    <row r="373" spans="1:2" x14ac:dyDescent="0.35">
      <c r="A373" s="8">
        <v>370</v>
      </c>
      <c r="B373" s="6">
        <v>1467452.3467782296</v>
      </c>
    </row>
    <row r="374" spans="1:2" x14ac:dyDescent="0.35">
      <c r="A374" s="8">
        <v>371</v>
      </c>
      <c r="B374" s="6">
        <v>1468159.6736577631</v>
      </c>
    </row>
    <row r="375" spans="1:2" x14ac:dyDescent="0.35">
      <c r="A375" s="8">
        <v>372</v>
      </c>
      <c r="B375" s="6">
        <v>1468232.3937509926</v>
      </c>
    </row>
    <row r="376" spans="1:2" x14ac:dyDescent="0.35">
      <c r="A376" s="8">
        <v>373</v>
      </c>
      <c r="B376" s="6">
        <v>1469490.283831168</v>
      </c>
    </row>
    <row r="377" spans="1:2" x14ac:dyDescent="0.35">
      <c r="A377" s="8">
        <v>374</v>
      </c>
      <c r="B377" s="6">
        <v>1469675.573181693</v>
      </c>
    </row>
    <row r="378" spans="1:2" x14ac:dyDescent="0.35">
      <c r="A378" s="8">
        <v>375</v>
      </c>
      <c r="B378" s="6">
        <v>1470243.1178873884</v>
      </c>
    </row>
    <row r="379" spans="1:2" x14ac:dyDescent="0.35">
      <c r="A379" s="8">
        <v>376</v>
      </c>
      <c r="B379" s="6">
        <v>1470814.8778993017</v>
      </c>
    </row>
    <row r="380" spans="1:2" x14ac:dyDescent="0.35">
      <c r="A380" s="8">
        <v>377</v>
      </c>
      <c r="B380" s="6">
        <v>1472348.63476492</v>
      </c>
    </row>
    <row r="381" spans="1:2" x14ac:dyDescent="0.35">
      <c r="A381" s="8">
        <v>378</v>
      </c>
      <c r="B381" s="6">
        <v>1472721.0777078054</v>
      </c>
    </row>
    <row r="382" spans="1:2" x14ac:dyDescent="0.35">
      <c r="A382" s="8">
        <v>379</v>
      </c>
      <c r="B382" s="6">
        <v>1473104.933938456</v>
      </c>
    </row>
    <row r="383" spans="1:2" x14ac:dyDescent="0.35">
      <c r="A383" s="8">
        <v>380</v>
      </c>
      <c r="B383" s="6">
        <v>1475680.1074575325</v>
      </c>
    </row>
    <row r="384" spans="1:2" x14ac:dyDescent="0.35">
      <c r="A384" s="8">
        <v>381</v>
      </c>
      <c r="B384" s="6">
        <v>1477547.044805574</v>
      </c>
    </row>
    <row r="385" spans="1:2" x14ac:dyDescent="0.35">
      <c r="A385" s="8">
        <v>382</v>
      </c>
      <c r="B385" s="6">
        <v>1477580.2208747964</v>
      </c>
    </row>
    <row r="386" spans="1:2" x14ac:dyDescent="0.35">
      <c r="A386" s="8">
        <v>383</v>
      </c>
      <c r="B386" s="6">
        <v>1478486.4381513984</v>
      </c>
    </row>
    <row r="387" spans="1:2" x14ac:dyDescent="0.35">
      <c r="A387" s="8">
        <v>384</v>
      </c>
      <c r="B387" s="6">
        <v>1479620.4202513709</v>
      </c>
    </row>
    <row r="388" spans="1:2" x14ac:dyDescent="0.35">
      <c r="A388" s="8">
        <v>385</v>
      </c>
      <c r="B388" s="6">
        <v>1481064.5932963965</v>
      </c>
    </row>
    <row r="389" spans="1:2" x14ac:dyDescent="0.35">
      <c r="A389" s="8">
        <v>386</v>
      </c>
      <c r="B389" s="6">
        <v>1481493.4653841022</v>
      </c>
    </row>
    <row r="390" spans="1:2" x14ac:dyDescent="0.35">
      <c r="A390" s="8">
        <v>387</v>
      </c>
      <c r="B390" s="6">
        <v>1481656.8884862594</v>
      </c>
    </row>
    <row r="391" spans="1:2" x14ac:dyDescent="0.35">
      <c r="A391" s="8">
        <v>388</v>
      </c>
      <c r="B391" s="6">
        <v>1483656.7312518677</v>
      </c>
    </row>
    <row r="392" spans="1:2" x14ac:dyDescent="0.35">
      <c r="A392" s="8">
        <v>389</v>
      </c>
      <c r="B392" s="6">
        <v>1483806.16866622</v>
      </c>
    </row>
    <row r="393" spans="1:2" x14ac:dyDescent="0.35">
      <c r="A393" s="8">
        <v>390</v>
      </c>
      <c r="B393" s="6">
        <v>1485208.7521842208</v>
      </c>
    </row>
    <row r="394" spans="1:2" x14ac:dyDescent="0.35">
      <c r="A394" s="8">
        <v>391</v>
      </c>
      <c r="B394" s="6">
        <v>1488340.5722250997</v>
      </c>
    </row>
    <row r="395" spans="1:2" x14ac:dyDescent="0.35">
      <c r="A395" s="8">
        <v>392</v>
      </c>
      <c r="B395" s="6">
        <v>1488485.8981081778</v>
      </c>
    </row>
    <row r="396" spans="1:2" x14ac:dyDescent="0.35">
      <c r="A396" s="8">
        <v>393</v>
      </c>
      <c r="B396" s="6">
        <v>1488673.4052960484</v>
      </c>
    </row>
    <row r="397" spans="1:2" x14ac:dyDescent="0.35">
      <c r="A397" s="8">
        <v>394</v>
      </c>
      <c r="B397" s="6">
        <v>1489885.7091513982</v>
      </c>
    </row>
    <row r="398" spans="1:2" x14ac:dyDescent="0.35">
      <c r="A398" s="8">
        <v>395</v>
      </c>
      <c r="B398" s="6">
        <v>1490409.463535584</v>
      </c>
    </row>
    <row r="399" spans="1:2" x14ac:dyDescent="0.35">
      <c r="A399" s="8">
        <v>396</v>
      </c>
      <c r="B399" s="6">
        <v>1490752.8793866569</v>
      </c>
    </row>
    <row r="400" spans="1:2" x14ac:dyDescent="0.35">
      <c r="A400" s="8">
        <v>397</v>
      </c>
      <c r="B400" s="6">
        <v>1491555.3067393233</v>
      </c>
    </row>
    <row r="401" spans="1:2" x14ac:dyDescent="0.35">
      <c r="A401" s="8">
        <v>398</v>
      </c>
      <c r="B401" s="6">
        <v>1491848.8909616582</v>
      </c>
    </row>
    <row r="402" spans="1:2" x14ac:dyDescent="0.35">
      <c r="A402" s="8">
        <v>399</v>
      </c>
      <c r="B402" s="6">
        <v>1491891.9247489609</v>
      </c>
    </row>
    <row r="403" spans="1:2" x14ac:dyDescent="0.35">
      <c r="A403" s="8">
        <v>400</v>
      </c>
      <c r="B403" s="6">
        <v>1492046.142669983</v>
      </c>
    </row>
    <row r="404" spans="1:2" x14ac:dyDescent="0.35">
      <c r="A404" s="8">
        <v>401</v>
      </c>
      <c r="B404" s="6">
        <v>1492317.5889250324</v>
      </c>
    </row>
    <row r="405" spans="1:2" x14ac:dyDescent="0.35">
      <c r="A405" s="8">
        <v>402</v>
      </c>
      <c r="B405" s="6">
        <v>1492622.2478216114</v>
      </c>
    </row>
    <row r="406" spans="1:2" x14ac:dyDescent="0.35">
      <c r="A406" s="8">
        <v>403</v>
      </c>
      <c r="B406" s="6">
        <v>1493123.2213395378</v>
      </c>
    </row>
    <row r="407" spans="1:2" x14ac:dyDescent="0.35">
      <c r="A407" s="8">
        <v>404</v>
      </c>
      <c r="B407" s="6">
        <v>1493488.3832836333</v>
      </c>
    </row>
    <row r="408" spans="1:2" x14ac:dyDescent="0.35">
      <c r="A408" s="8">
        <v>405</v>
      </c>
      <c r="B408" s="6">
        <v>1496521.8734288099</v>
      </c>
    </row>
    <row r="409" spans="1:2" x14ac:dyDescent="0.35">
      <c r="A409" s="8">
        <v>406</v>
      </c>
      <c r="B409" s="6">
        <v>1496951.2076354814</v>
      </c>
    </row>
    <row r="410" spans="1:2" x14ac:dyDescent="0.35">
      <c r="A410" s="8">
        <v>407</v>
      </c>
      <c r="B410" s="6">
        <v>1497051.5921667453</v>
      </c>
    </row>
    <row r="411" spans="1:2" x14ac:dyDescent="0.35">
      <c r="A411" s="8">
        <v>408</v>
      </c>
      <c r="B411" s="6">
        <v>1498284.9012656705</v>
      </c>
    </row>
    <row r="412" spans="1:2" x14ac:dyDescent="0.35">
      <c r="A412" s="8">
        <v>409</v>
      </c>
      <c r="B412" s="6">
        <v>1500075.3725647568</v>
      </c>
    </row>
    <row r="413" spans="1:2" x14ac:dyDescent="0.35">
      <c r="A413" s="8">
        <v>410</v>
      </c>
      <c r="B413" s="6">
        <v>1500415.0000621234</v>
      </c>
    </row>
    <row r="414" spans="1:2" x14ac:dyDescent="0.35">
      <c r="A414" s="8">
        <v>411</v>
      </c>
      <c r="B414" s="6">
        <v>1502847.3537583782</v>
      </c>
    </row>
    <row r="415" spans="1:2" x14ac:dyDescent="0.35">
      <c r="A415" s="8">
        <v>412</v>
      </c>
      <c r="B415" s="6">
        <v>1504850.3938092953</v>
      </c>
    </row>
    <row r="416" spans="1:2" x14ac:dyDescent="0.35">
      <c r="A416" s="8">
        <v>413</v>
      </c>
      <c r="B416" s="6">
        <v>1505813.6487385277</v>
      </c>
    </row>
    <row r="417" spans="1:2" x14ac:dyDescent="0.35">
      <c r="A417" s="8">
        <v>414</v>
      </c>
      <c r="B417" s="6">
        <v>1505896.0849992535</v>
      </c>
    </row>
    <row r="418" spans="1:2" x14ac:dyDescent="0.35">
      <c r="A418" s="8">
        <v>415</v>
      </c>
      <c r="B418" s="6">
        <v>1506757.6918724324</v>
      </c>
    </row>
    <row r="419" spans="1:2" x14ac:dyDescent="0.35">
      <c r="A419" s="8">
        <v>416</v>
      </c>
      <c r="B419" s="6">
        <v>1507272.8089530747</v>
      </c>
    </row>
    <row r="420" spans="1:2" x14ac:dyDescent="0.35">
      <c r="A420" s="8">
        <v>417</v>
      </c>
      <c r="B420" s="6">
        <v>1508309.6914039538</v>
      </c>
    </row>
    <row r="421" spans="1:2" x14ac:dyDescent="0.35">
      <c r="A421" s="8">
        <v>418</v>
      </c>
      <c r="B421" s="6">
        <v>1513290.6278306297</v>
      </c>
    </row>
    <row r="422" spans="1:2" x14ac:dyDescent="0.35">
      <c r="A422" s="8">
        <v>419</v>
      </c>
      <c r="B422" s="6">
        <v>1513715.0068156673</v>
      </c>
    </row>
    <row r="423" spans="1:2" x14ac:dyDescent="0.35">
      <c r="A423" s="8">
        <v>420</v>
      </c>
      <c r="B423" s="6">
        <v>1513725.5760760361</v>
      </c>
    </row>
    <row r="424" spans="1:2" x14ac:dyDescent="0.35">
      <c r="A424" s="8">
        <v>421</v>
      </c>
      <c r="B424" s="6">
        <v>1513782.1842759196</v>
      </c>
    </row>
    <row r="425" spans="1:2" x14ac:dyDescent="0.35">
      <c r="A425" s="8">
        <v>422</v>
      </c>
      <c r="B425" s="6">
        <v>1514507.8747186724</v>
      </c>
    </row>
    <row r="426" spans="1:2" x14ac:dyDescent="0.35">
      <c r="A426" s="8">
        <v>423</v>
      </c>
      <c r="B426" s="6">
        <v>1517092.8229007523</v>
      </c>
    </row>
    <row r="427" spans="1:2" x14ac:dyDescent="0.35">
      <c r="A427" s="8">
        <v>424</v>
      </c>
      <c r="B427" s="6">
        <v>1518599.1607673988</v>
      </c>
    </row>
    <row r="428" spans="1:2" x14ac:dyDescent="0.35">
      <c r="A428" s="8">
        <v>425</v>
      </c>
      <c r="B428" s="6">
        <v>1519317.130476437</v>
      </c>
    </row>
    <row r="429" spans="1:2" x14ac:dyDescent="0.35">
      <c r="A429" s="8">
        <v>426</v>
      </c>
      <c r="B429" s="6">
        <v>1519406.919920424</v>
      </c>
    </row>
    <row r="430" spans="1:2" x14ac:dyDescent="0.35">
      <c r="A430" s="8">
        <v>427</v>
      </c>
      <c r="B430" s="6">
        <v>1519410.1675930177</v>
      </c>
    </row>
    <row r="431" spans="1:2" x14ac:dyDescent="0.35">
      <c r="A431" s="8">
        <v>428</v>
      </c>
      <c r="B431" s="6">
        <v>1519481.0807138765</v>
      </c>
    </row>
    <row r="432" spans="1:2" x14ac:dyDescent="0.35">
      <c r="A432" s="8">
        <v>429</v>
      </c>
      <c r="B432" s="6">
        <v>1520563.9226658253</v>
      </c>
    </row>
    <row r="433" spans="1:2" x14ac:dyDescent="0.35">
      <c r="A433" s="8">
        <v>430</v>
      </c>
      <c r="B433" s="6">
        <v>1520582.7512030872</v>
      </c>
    </row>
    <row r="434" spans="1:2" x14ac:dyDescent="0.35">
      <c r="A434" s="8">
        <v>431</v>
      </c>
      <c r="B434" s="6">
        <v>1520666.4731948546</v>
      </c>
    </row>
    <row r="435" spans="1:2" x14ac:dyDescent="0.35">
      <c r="A435" s="8">
        <v>432</v>
      </c>
      <c r="B435" s="6">
        <v>1520691.987486332</v>
      </c>
    </row>
    <row r="436" spans="1:2" x14ac:dyDescent="0.35">
      <c r="A436" s="8">
        <v>433</v>
      </c>
      <c r="B436" s="6">
        <v>1520775.5577949199</v>
      </c>
    </row>
    <row r="437" spans="1:2" x14ac:dyDescent="0.35">
      <c r="A437" s="8">
        <v>434</v>
      </c>
      <c r="B437" s="6">
        <v>1521042.9032105687</v>
      </c>
    </row>
    <row r="438" spans="1:2" x14ac:dyDescent="0.35">
      <c r="A438" s="8">
        <v>435</v>
      </c>
      <c r="B438" s="6">
        <v>1521604.9321424009</v>
      </c>
    </row>
    <row r="439" spans="1:2" x14ac:dyDescent="0.35">
      <c r="A439" s="8">
        <v>436</v>
      </c>
      <c r="B439" s="6">
        <v>1523190.931258352</v>
      </c>
    </row>
    <row r="440" spans="1:2" x14ac:dyDescent="0.35">
      <c r="A440" s="8">
        <v>437</v>
      </c>
      <c r="B440" s="6">
        <v>1523307.8749045786</v>
      </c>
    </row>
    <row r="441" spans="1:2" x14ac:dyDescent="0.35">
      <c r="A441" s="8">
        <v>438</v>
      </c>
      <c r="B441" s="6">
        <v>1523858.1223377297</v>
      </c>
    </row>
    <row r="442" spans="1:2" x14ac:dyDescent="0.35">
      <c r="A442" s="8">
        <v>439</v>
      </c>
      <c r="B442" s="6">
        <v>1524713.3800036246</v>
      </c>
    </row>
    <row r="443" spans="1:2" x14ac:dyDescent="0.35">
      <c r="A443" s="8">
        <v>440</v>
      </c>
      <c r="B443" s="6">
        <v>1528159.8243914708</v>
      </c>
    </row>
    <row r="444" spans="1:2" x14ac:dyDescent="0.35">
      <c r="A444" s="8">
        <v>441</v>
      </c>
      <c r="B444" s="6">
        <v>1528673.3585349948</v>
      </c>
    </row>
    <row r="445" spans="1:2" x14ac:dyDescent="0.35">
      <c r="A445" s="8">
        <v>442</v>
      </c>
      <c r="B445" s="6">
        <v>1529234.7084986658</v>
      </c>
    </row>
    <row r="446" spans="1:2" x14ac:dyDescent="0.35">
      <c r="A446" s="8">
        <v>443</v>
      </c>
      <c r="B446" s="6">
        <v>1530471.3840792435</v>
      </c>
    </row>
    <row r="447" spans="1:2" x14ac:dyDescent="0.35">
      <c r="A447" s="8">
        <v>444</v>
      </c>
      <c r="B447" s="6">
        <v>1531860.974221231</v>
      </c>
    </row>
    <row r="448" spans="1:2" x14ac:dyDescent="0.35">
      <c r="A448" s="8">
        <v>445</v>
      </c>
      <c r="B448" s="6">
        <v>1532406.419729349</v>
      </c>
    </row>
    <row r="449" spans="1:2" x14ac:dyDescent="0.35">
      <c r="A449" s="8">
        <v>446</v>
      </c>
      <c r="B449" s="6">
        <v>1533190.2285384578</v>
      </c>
    </row>
    <row r="450" spans="1:2" x14ac:dyDescent="0.35">
      <c r="A450" s="8">
        <v>447</v>
      </c>
      <c r="B450" s="6">
        <v>1534008.8575764115</v>
      </c>
    </row>
    <row r="451" spans="1:2" x14ac:dyDescent="0.35">
      <c r="A451" s="8">
        <v>448</v>
      </c>
      <c r="B451" s="6">
        <v>1534335.0783974295</v>
      </c>
    </row>
    <row r="452" spans="1:2" x14ac:dyDescent="0.35">
      <c r="A452" s="8">
        <v>449</v>
      </c>
      <c r="B452" s="6">
        <v>1535260.9317903786</v>
      </c>
    </row>
    <row r="453" spans="1:2" x14ac:dyDescent="0.35">
      <c r="A453" s="8">
        <v>450</v>
      </c>
      <c r="B453" s="6">
        <v>1536052.2758888439</v>
      </c>
    </row>
    <row r="454" spans="1:2" x14ac:dyDescent="0.35">
      <c r="A454" s="8">
        <v>451</v>
      </c>
      <c r="B454" s="6">
        <v>1538088.2432105173</v>
      </c>
    </row>
    <row r="455" spans="1:2" x14ac:dyDescent="0.35">
      <c r="A455" s="8">
        <v>452</v>
      </c>
      <c r="B455" s="6">
        <v>1538189.3598645807</v>
      </c>
    </row>
    <row r="456" spans="1:2" x14ac:dyDescent="0.35">
      <c r="A456" s="8">
        <v>453</v>
      </c>
      <c r="B456" s="6">
        <v>1538430.017010743</v>
      </c>
    </row>
    <row r="457" spans="1:2" x14ac:dyDescent="0.35">
      <c r="A457" s="8">
        <v>454</v>
      </c>
      <c r="B457" s="6">
        <v>1538510.6470672493</v>
      </c>
    </row>
    <row r="458" spans="1:2" x14ac:dyDescent="0.35">
      <c r="A458" s="8">
        <v>455</v>
      </c>
      <c r="B458" s="6">
        <v>1538864.8017688948</v>
      </c>
    </row>
    <row r="459" spans="1:2" x14ac:dyDescent="0.35">
      <c r="A459" s="8">
        <v>456</v>
      </c>
      <c r="B459" s="6">
        <v>1539200.4290228751</v>
      </c>
    </row>
    <row r="460" spans="1:2" x14ac:dyDescent="0.35">
      <c r="A460" s="8">
        <v>457</v>
      </c>
      <c r="B460" s="6">
        <v>1540322.1241436966</v>
      </c>
    </row>
    <row r="461" spans="1:2" x14ac:dyDescent="0.35">
      <c r="A461" s="8">
        <v>458</v>
      </c>
      <c r="B461" s="6">
        <v>1540409.3447582792</v>
      </c>
    </row>
    <row r="462" spans="1:2" x14ac:dyDescent="0.35">
      <c r="A462" s="8">
        <v>459</v>
      </c>
      <c r="B462" s="6">
        <v>1540728.6429066695</v>
      </c>
    </row>
    <row r="463" spans="1:2" x14ac:dyDescent="0.35">
      <c r="A463" s="8">
        <v>460</v>
      </c>
      <c r="B463" s="6">
        <v>1541965.1919575902</v>
      </c>
    </row>
    <row r="464" spans="1:2" x14ac:dyDescent="0.35">
      <c r="A464" s="8">
        <v>461</v>
      </c>
      <c r="B464" s="6">
        <v>1542301.8606764185</v>
      </c>
    </row>
    <row r="465" spans="1:2" x14ac:dyDescent="0.35">
      <c r="A465" s="8">
        <v>462</v>
      </c>
      <c r="B465" s="6">
        <v>1542325.7221100102</v>
      </c>
    </row>
    <row r="466" spans="1:2" x14ac:dyDescent="0.35">
      <c r="A466" s="8">
        <v>463</v>
      </c>
      <c r="B466" s="6">
        <v>1543022.3407224067</v>
      </c>
    </row>
    <row r="467" spans="1:2" x14ac:dyDescent="0.35">
      <c r="A467" s="8">
        <v>464</v>
      </c>
      <c r="B467" s="6">
        <v>1543266.6966122393</v>
      </c>
    </row>
    <row r="468" spans="1:2" x14ac:dyDescent="0.35">
      <c r="A468" s="8">
        <v>465</v>
      </c>
      <c r="B468" s="6">
        <v>1543329.3885879409</v>
      </c>
    </row>
    <row r="469" spans="1:2" x14ac:dyDescent="0.35">
      <c r="A469" s="8">
        <v>466</v>
      </c>
      <c r="B469" s="6">
        <v>1546664.9584503924</v>
      </c>
    </row>
    <row r="470" spans="1:2" x14ac:dyDescent="0.35">
      <c r="A470" s="8">
        <v>467</v>
      </c>
      <c r="B470" s="6">
        <v>1546737.7492904007</v>
      </c>
    </row>
    <row r="471" spans="1:2" x14ac:dyDescent="0.35">
      <c r="A471" s="8">
        <v>468</v>
      </c>
      <c r="B471" s="6">
        <v>1546941.3116684887</v>
      </c>
    </row>
    <row r="472" spans="1:2" x14ac:dyDescent="0.35">
      <c r="A472" s="8">
        <v>469</v>
      </c>
      <c r="B472" s="6">
        <v>1547547.2198818494</v>
      </c>
    </row>
    <row r="473" spans="1:2" x14ac:dyDescent="0.35">
      <c r="A473" s="8">
        <v>470</v>
      </c>
      <c r="B473" s="6">
        <v>1548338.6779335309</v>
      </c>
    </row>
    <row r="474" spans="1:2" x14ac:dyDescent="0.35">
      <c r="A474" s="8">
        <v>471</v>
      </c>
      <c r="B474" s="6">
        <v>1548830.9516323495</v>
      </c>
    </row>
    <row r="475" spans="1:2" x14ac:dyDescent="0.35">
      <c r="A475" s="8">
        <v>472</v>
      </c>
      <c r="B475" s="6">
        <v>1549918.8995052173</v>
      </c>
    </row>
    <row r="476" spans="1:2" x14ac:dyDescent="0.35">
      <c r="A476" s="8">
        <v>473</v>
      </c>
      <c r="B476" s="6">
        <v>1553243.2873223638</v>
      </c>
    </row>
    <row r="477" spans="1:2" x14ac:dyDescent="0.35">
      <c r="A477" s="8">
        <v>474</v>
      </c>
      <c r="B477" s="6">
        <v>1554211.34143891</v>
      </c>
    </row>
    <row r="478" spans="1:2" x14ac:dyDescent="0.35">
      <c r="A478" s="8">
        <v>475</v>
      </c>
      <c r="B478" s="6">
        <v>1554562.5941381741</v>
      </c>
    </row>
    <row r="479" spans="1:2" x14ac:dyDescent="0.35">
      <c r="A479" s="8">
        <v>476</v>
      </c>
      <c r="B479" s="6">
        <v>1554927.2970127058</v>
      </c>
    </row>
    <row r="480" spans="1:2" x14ac:dyDescent="0.35">
      <c r="A480" s="8">
        <v>477</v>
      </c>
      <c r="B480" s="6">
        <v>1555054.0778106423</v>
      </c>
    </row>
    <row r="481" spans="1:2" x14ac:dyDescent="0.35">
      <c r="A481" s="8">
        <v>478</v>
      </c>
      <c r="B481" s="6">
        <v>1556276.0437746989</v>
      </c>
    </row>
    <row r="482" spans="1:2" x14ac:dyDescent="0.35">
      <c r="A482" s="8">
        <v>479</v>
      </c>
      <c r="B482" s="6">
        <v>1556517.68217029</v>
      </c>
    </row>
    <row r="483" spans="1:2" x14ac:dyDescent="0.35">
      <c r="A483" s="8">
        <v>480</v>
      </c>
      <c r="B483" s="6">
        <v>1556735.5917417158</v>
      </c>
    </row>
    <row r="484" spans="1:2" x14ac:dyDescent="0.35">
      <c r="A484" s="8">
        <v>481</v>
      </c>
      <c r="B484" s="6">
        <v>1558128.8417297062</v>
      </c>
    </row>
    <row r="485" spans="1:2" x14ac:dyDescent="0.35">
      <c r="A485" s="8">
        <v>482</v>
      </c>
      <c r="B485" s="6">
        <v>1558430.9966071849</v>
      </c>
    </row>
    <row r="486" spans="1:2" x14ac:dyDescent="0.35">
      <c r="A486" s="8">
        <v>483</v>
      </c>
      <c r="B486" s="6">
        <v>1559132.1177600757</v>
      </c>
    </row>
    <row r="487" spans="1:2" x14ac:dyDescent="0.35">
      <c r="A487" s="8">
        <v>484</v>
      </c>
      <c r="B487" s="6">
        <v>1559767.7724040353</v>
      </c>
    </row>
    <row r="488" spans="1:2" x14ac:dyDescent="0.35">
      <c r="A488" s="8">
        <v>485</v>
      </c>
      <c r="B488" s="6">
        <v>1563452.5521313616</v>
      </c>
    </row>
    <row r="489" spans="1:2" x14ac:dyDescent="0.35">
      <c r="A489" s="8">
        <v>486</v>
      </c>
      <c r="B489" s="6">
        <v>1563913.4156709167</v>
      </c>
    </row>
    <row r="490" spans="1:2" x14ac:dyDescent="0.35">
      <c r="A490" s="8">
        <v>487</v>
      </c>
      <c r="B490" s="6">
        <v>1563964.9224966019</v>
      </c>
    </row>
    <row r="491" spans="1:2" x14ac:dyDescent="0.35">
      <c r="A491" s="8">
        <v>488</v>
      </c>
      <c r="B491" s="6">
        <v>1564015.1733167719</v>
      </c>
    </row>
    <row r="492" spans="1:2" x14ac:dyDescent="0.35">
      <c r="A492" s="8">
        <v>489</v>
      </c>
      <c r="B492" s="6">
        <v>1564953.3156425927</v>
      </c>
    </row>
    <row r="493" spans="1:2" x14ac:dyDescent="0.35">
      <c r="A493" s="8">
        <v>490</v>
      </c>
      <c r="B493" s="6">
        <v>1565062.1247403517</v>
      </c>
    </row>
    <row r="494" spans="1:2" x14ac:dyDescent="0.35">
      <c r="A494" s="8">
        <v>491</v>
      </c>
      <c r="B494" s="6">
        <v>1567723.5662509648</v>
      </c>
    </row>
    <row r="495" spans="1:2" x14ac:dyDescent="0.35">
      <c r="A495" s="8">
        <v>492</v>
      </c>
      <c r="B495" s="6">
        <v>1568070.8789636965</v>
      </c>
    </row>
    <row r="496" spans="1:2" x14ac:dyDescent="0.35">
      <c r="A496" s="8">
        <v>493</v>
      </c>
      <c r="B496" s="6">
        <v>1568196.5257571144</v>
      </c>
    </row>
    <row r="497" spans="1:2" x14ac:dyDescent="0.35">
      <c r="A497" s="8">
        <v>494</v>
      </c>
      <c r="B497" s="6">
        <v>1568777.8277652317</v>
      </c>
    </row>
    <row r="498" spans="1:2" x14ac:dyDescent="0.35">
      <c r="A498" s="8">
        <v>495</v>
      </c>
      <c r="B498" s="6">
        <v>1569071.3352500703</v>
      </c>
    </row>
    <row r="499" spans="1:2" x14ac:dyDescent="0.35">
      <c r="A499" s="8">
        <v>496</v>
      </c>
      <c r="B499" s="6">
        <v>1569668.0744328185</v>
      </c>
    </row>
    <row r="500" spans="1:2" x14ac:dyDescent="0.35">
      <c r="A500" s="8">
        <v>497</v>
      </c>
      <c r="B500" s="6">
        <v>1570026.1144049177</v>
      </c>
    </row>
    <row r="501" spans="1:2" x14ac:dyDescent="0.35">
      <c r="A501" s="8">
        <v>498</v>
      </c>
      <c r="B501" s="6">
        <v>1570770.7677571177</v>
      </c>
    </row>
    <row r="502" spans="1:2" x14ac:dyDescent="0.35">
      <c r="A502" s="8">
        <v>499</v>
      </c>
      <c r="B502" s="6">
        <v>1571129.6093645087</v>
      </c>
    </row>
    <row r="503" spans="1:2" x14ac:dyDescent="0.35">
      <c r="A503" s="8">
        <v>500</v>
      </c>
      <c r="B503" s="6">
        <v>1571263.3081757403</v>
      </c>
    </row>
    <row r="504" spans="1:2" x14ac:dyDescent="0.35">
      <c r="A504" s="8">
        <v>501</v>
      </c>
      <c r="B504" s="6">
        <v>1575855.8715496734</v>
      </c>
    </row>
    <row r="505" spans="1:2" x14ac:dyDescent="0.35">
      <c r="A505" s="8">
        <v>502</v>
      </c>
      <c r="B505" s="6">
        <v>1576146.6779225133</v>
      </c>
    </row>
    <row r="506" spans="1:2" x14ac:dyDescent="0.35">
      <c r="A506" s="8">
        <v>503</v>
      </c>
      <c r="B506" s="6">
        <v>1576548.3812381336</v>
      </c>
    </row>
    <row r="507" spans="1:2" x14ac:dyDescent="0.35">
      <c r="A507" s="8">
        <v>504</v>
      </c>
      <c r="B507" s="6">
        <v>1577549.6010140288</v>
      </c>
    </row>
    <row r="508" spans="1:2" x14ac:dyDescent="0.35">
      <c r="A508" s="8">
        <v>505</v>
      </c>
      <c r="B508" s="6">
        <v>1579230.0274083754</v>
      </c>
    </row>
    <row r="509" spans="1:2" x14ac:dyDescent="0.35">
      <c r="A509" s="8">
        <v>506</v>
      </c>
      <c r="B509" s="6">
        <v>1580371.0434937766</v>
      </c>
    </row>
    <row r="510" spans="1:2" x14ac:dyDescent="0.35">
      <c r="A510" s="8">
        <v>507</v>
      </c>
      <c r="B510" s="6">
        <v>1582620.3111622264</v>
      </c>
    </row>
    <row r="511" spans="1:2" x14ac:dyDescent="0.35">
      <c r="A511" s="8">
        <v>508</v>
      </c>
      <c r="B511" s="6">
        <v>1583767.666435099</v>
      </c>
    </row>
    <row r="512" spans="1:2" x14ac:dyDescent="0.35">
      <c r="A512" s="8">
        <v>509</v>
      </c>
      <c r="B512" s="6">
        <v>1584425.2461719429</v>
      </c>
    </row>
    <row r="513" spans="1:2" x14ac:dyDescent="0.35">
      <c r="A513" s="8">
        <v>510</v>
      </c>
      <c r="B513" s="6">
        <v>1585570.6599171241</v>
      </c>
    </row>
    <row r="514" spans="1:2" x14ac:dyDescent="0.35">
      <c r="A514" s="8">
        <v>511</v>
      </c>
      <c r="B514" s="6">
        <v>1585985.2015034766</v>
      </c>
    </row>
    <row r="515" spans="1:2" x14ac:dyDescent="0.35">
      <c r="A515" s="8">
        <v>512</v>
      </c>
      <c r="B515" s="6">
        <v>1586790.1593696224</v>
      </c>
    </row>
    <row r="516" spans="1:2" x14ac:dyDescent="0.35">
      <c r="A516" s="8">
        <v>513</v>
      </c>
      <c r="B516" s="6">
        <v>1587164.0942891557</v>
      </c>
    </row>
    <row r="517" spans="1:2" x14ac:dyDescent="0.35">
      <c r="A517" s="8">
        <v>514</v>
      </c>
      <c r="B517" s="6">
        <v>1588581.3663922681</v>
      </c>
    </row>
    <row r="518" spans="1:2" x14ac:dyDescent="0.35">
      <c r="A518" s="8">
        <v>515</v>
      </c>
      <c r="B518" s="6">
        <v>1588838.2650959082</v>
      </c>
    </row>
    <row r="519" spans="1:2" x14ac:dyDescent="0.35">
      <c r="A519" s="8">
        <v>516</v>
      </c>
      <c r="B519" s="6">
        <v>1589970.6282063469</v>
      </c>
    </row>
    <row r="520" spans="1:2" x14ac:dyDescent="0.35">
      <c r="A520" s="8">
        <v>517</v>
      </c>
      <c r="B520" s="6">
        <v>1590069.37861712</v>
      </c>
    </row>
    <row r="521" spans="1:2" x14ac:dyDescent="0.35">
      <c r="A521" s="8">
        <v>518</v>
      </c>
      <c r="B521" s="6">
        <v>1590135.1603658875</v>
      </c>
    </row>
    <row r="522" spans="1:2" x14ac:dyDescent="0.35">
      <c r="A522" s="8">
        <v>519</v>
      </c>
      <c r="B522" s="6">
        <v>1593177.0749754999</v>
      </c>
    </row>
    <row r="523" spans="1:2" x14ac:dyDescent="0.35">
      <c r="A523" s="8">
        <v>520</v>
      </c>
      <c r="B523" s="6">
        <v>1595151.6507603154</v>
      </c>
    </row>
    <row r="524" spans="1:2" x14ac:dyDescent="0.35">
      <c r="A524" s="8">
        <v>521</v>
      </c>
      <c r="B524" s="6">
        <v>1596755.6041265537</v>
      </c>
    </row>
    <row r="525" spans="1:2" x14ac:dyDescent="0.35">
      <c r="A525" s="8">
        <v>522</v>
      </c>
      <c r="B525" s="6">
        <v>1599549.5319814002</v>
      </c>
    </row>
    <row r="526" spans="1:2" x14ac:dyDescent="0.35">
      <c r="A526" s="8">
        <v>523</v>
      </c>
      <c r="B526" s="6">
        <v>1599887.1700309345</v>
      </c>
    </row>
    <row r="527" spans="1:2" x14ac:dyDescent="0.35">
      <c r="A527" s="8">
        <v>524</v>
      </c>
      <c r="B527" s="6">
        <v>1600094.1966112549</v>
      </c>
    </row>
    <row r="528" spans="1:2" x14ac:dyDescent="0.35">
      <c r="A528" s="8">
        <v>525</v>
      </c>
      <c r="B528" s="6">
        <v>1600475.3670274303</v>
      </c>
    </row>
    <row r="529" spans="1:2" x14ac:dyDescent="0.35">
      <c r="A529" s="8">
        <v>526</v>
      </c>
      <c r="B529" s="6">
        <v>1600499.6783839283</v>
      </c>
    </row>
    <row r="530" spans="1:2" x14ac:dyDescent="0.35">
      <c r="A530" s="8">
        <v>527</v>
      </c>
      <c r="B530" s="6">
        <v>1601497.8101373229</v>
      </c>
    </row>
    <row r="531" spans="1:2" x14ac:dyDescent="0.35">
      <c r="A531" s="8">
        <v>528</v>
      </c>
      <c r="B531" s="6">
        <v>1601704.7559344494</v>
      </c>
    </row>
    <row r="532" spans="1:2" x14ac:dyDescent="0.35">
      <c r="A532" s="8">
        <v>529</v>
      </c>
      <c r="B532" s="6">
        <v>1602090.5195459598</v>
      </c>
    </row>
    <row r="533" spans="1:2" x14ac:dyDescent="0.35">
      <c r="A533" s="8">
        <v>530</v>
      </c>
      <c r="B533" s="6">
        <v>1602526.7108701563</v>
      </c>
    </row>
    <row r="534" spans="1:2" x14ac:dyDescent="0.35">
      <c r="A534" s="8">
        <v>531</v>
      </c>
      <c r="B534" s="6">
        <v>1602778.8620153882</v>
      </c>
    </row>
    <row r="535" spans="1:2" x14ac:dyDescent="0.35">
      <c r="A535" s="8">
        <v>532</v>
      </c>
      <c r="B535" s="6">
        <v>1602857.247010773</v>
      </c>
    </row>
    <row r="536" spans="1:2" x14ac:dyDescent="0.35">
      <c r="A536" s="8">
        <v>533</v>
      </c>
      <c r="B536" s="6">
        <v>1603325.1822843631</v>
      </c>
    </row>
    <row r="537" spans="1:2" x14ac:dyDescent="0.35">
      <c r="A537" s="8">
        <v>534</v>
      </c>
      <c r="B537" s="6">
        <v>1604397.2366781589</v>
      </c>
    </row>
    <row r="538" spans="1:2" x14ac:dyDescent="0.35">
      <c r="A538" s="8">
        <v>535</v>
      </c>
      <c r="B538" s="6">
        <v>1604441.4854321831</v>
      </c>
    </row>
    <row r="539" spans="1:2" x14ac:dyDescent="0.35">
      <c r="A539" s="8">
        <v>536</v>
      </c>
      <c r="B539" s="6">
        <v>1606836.6351867311</v>
      </c>
    </row>
    <row r="540" spans="1:2" x14ac:dyDescent="0.35">
      <c r="A540" s="8">
        <v>537</v>
      </c>
      <c r="B540" s="6">
        <v>1608234.3211651277</v>
      </c>
    </row>
    <row r="541" spans="1:2" x14ac:dyDescent="0.35">
      <c r="A541" s="8">
        <v>538</v>
      </c>
      <c r="B541" s="6">
        <v>1608952.6070262729</v>
      </c>
    </row>
    <row r="542" spans="1:2" x14ac:dyDescent="0.35">
      <c r="A542" s="8">
        <v>539</v>
      </c>
      <c r="B542" s="6">
        <v>1609623.8969595823</v>
      </c>
    </row>
    <row r="543" spans="1:2" x14ac:dyDescent="0.35">
      <c r="A543" s="8">
        <v>540</v>
      </c>
      <c r="B543" s="6">
        <v>1612224.1586825424</v>
      </c>
    </row>
    <row r="544" spans="1:2" x14ac:dyDescent="0.35">
      <c r="A544" s="8">
        <v>541</v>
      </c>
      <c r="B544" s="6">
        <v>1612355.5392494337</v>
      </c>
    </row>
    <row r="545" spans="1:2" x14ac:dyDescent="0.35">
      <c r="A545" s="8">
        <v>542</v>
      </c>
      <c r="B545" s="6">
        <v>1612605.0016025763</v>
      </c>
    </row>
    <row r="546" spans="1:2" x14ac:dyDescent="0.35">
      <c r="A546" s="8">
        <v>543</v>
      </c>
      <c r="B546" s="6">
        <v>1613141.1568382315</v>
      </c>
    </row>
    <row r="547" spans="1:2" x14ac:dyDescent="0.35">
      <c r="A547" s="8">
        <v>544</v>
      </c>
      <c r="B547" s="6">
        <v>1614562.354891486</v>
      </c>
    </row>
    <row r="548" spans="1:2" x14ac:dyDescent="0.35">
      <c r="A548" s="8">
        <v>545</v>
      </c>
      <c r="B548" s="6">
        <v>1615254.8041449375</v>
      </c>
    </row>
    <row r="549" spans="1:2" x14ac:dyDescent="0.35">
      <c r="A549" s="8">
        <v>546</v>
      </c>
      <c r="B549" s="6">
        <v>1616140.1695932359</v>
      </c>
    </row>
    <row r="550" spans="1:2" x14ac:dyDescent="0.35">
      <c r="A550" s="8">
        <v>547</v>
      </c>
      <c r="B550" s="6">
        <v>1617840.0777785799</v>
      </c>
    </row>
    <row r="551" spans="1:2" x14ac:dyDescent="0.35">
      <c r="A551" s="8">
        <v>548</v>
      </c>
      <c r="B551" s="6">
        <v>1618955.1422946439</v>
      </c>
    </row>
    <row r="552" spans="1:2" x14ac:dyDescent="0.35">
      <c r="A552" s="8">
        <v>549</v>
      </c>
      <c r="B552" s="6">
        <v>1623751.0686058332</v>
      </c>
    </row>
    <row r="553" spans="1:2" x14ac:dyDescent="0.35">
      <c r="A553" s="8">
        <v>550</v>
      </c>
      <c r="B553" s="6">
        <v>1625947.115436652</v>
      </c>
    </row>
    <row r="554" spans="1:2" x14ac:dyDescent="0.35">
      <c r="A554" s="8">
        <v>551</v>
      </c>
      <c r="B554" s="6">
        <v>1626380.6099411845</v>
      </c>
    </row>
    <row r="555" spans="1:2" x14ac:dyDescent="0.35">
      <c r="A555" s="8">
        <v>552</v>
      </c>
      <c r="B555" s="6">
        <v>1627084.6702041859</v>
      </c>
    </row>
    <row r="556" spans="1:2" x14ac:dyDescent="0.35">
      <c r="A556" s="8">
        <v>553</v>
      </c>
      <c r="B556" s="6">
        <v>1628768.6984356989</v>
      </c>
    </row>
    <row r="557" spans="1:2" x14ac:dyDescent="0.35">
      <c r="A557" s="8">
        <v>554</v>
      </c>
      <c r="B557" s="6">
        <v>1629353.9157679901</v>
      </c>
    </row>
    <row r="558" spans="1:2" x14ac:dyDescent="0.35">
      <c r="A558" s="8">
        <v>555</v>
      </c>
      <c r="B558" s="6">
        <v>1629580.7648303811</v>
      </c>
    </row>
    <row r="559" spans="1:2" x14ac:dyDescent="0.35">
      <c r="A559" s="8">
        <v>556</v>
      </c>
      <c r="B559" s="6">
        <v>1630062.5029954738</v>
      </c>
    </row>
    <row r="560" spans="1:2" x14ac:dyDescent="0.35">
      <c r="A560" s="8">
        <v>557</v>
      </c>
      <c r="B560" s="6">
        <v>1630617.3281171748</v>
      </c>
    </row>
    <row r="561" spans="1:2" x14ac:dyDescent="0.35">
      <c r="A561" s="8">
        <v>558</v>
      </c>
      <c r="B561" s="6">
        <v>1631038.1563291326</v>
      </c>
    </row>
    <row r="562" spans="1:2" x14ac:dyDescent="0.35">
      <c r="A562" s="8">
        <v>559</v>
      </c>
      <c r="B562" s="6">
        <v>1631755.9095119336</v>
      </c>
    </row>
    <row r="563" spans="1:2" x14ac:dyDescent="0.35">
      <c r="A563" s="8">
        <v>560</v>
      </c>
      <c r="B563" s="6">
        <v>1632335.9167601445</v>
      </c>
    </row>
    <row r="564" spans="1:2" x14ac:dyDescent="0.35">
      <c r="A564" s="8">
        <v>561</v>
      </c>
      <c r="B564" s="6">
        <v>1632679.5517413344</v>
      </c>
    </row>
    <row r="565" spans="1:2" x14ac:dyDescent="0.35">
      <c r="A565" s="8">
        <v>562</v>
      </c>
      <c r="B565" s="6">
        <v>1633041.1290576404</v>
      </c>
    </row>
    <row r="566" spans="1:2" x14ac:dyDescent="0.35">
      <c r="A566" s="8">
        <v>563</v>
      </c>
      <c r="B566" s="6">
        <v>1635211.5469075688</v>
      </c>
    </row>
    <row r="567" spans="1:2" x14ac:dyDescent="0.35">
      <c r="A567" s="8">
        <v>564</v>
      </c>
      <c r="B567" s="6">
        <v>1635477.1224937604</v>
      </c>
    </row>
    <row r="568" spans="1:2" x14ac:dyDescent="0.35">
      <c r="A568" s="8">
        <v>565</v>
      </c>
      <c r="B568" s="6">
        <v>1636022.8833675946</v>
      </c>
    </row>
    <row r="569" spans="1:2" x14ac:dyDescent="0.35">
      <c r="A569" s="8">
        <v>566</v>
      </c>
      <c r="B569" s="6">
        <v>1638218.0327508196</v>
      </c>
    </row>
    <row r="570" spans="1:2" x14ac:dyDescent="0.35">
      <c r="A570" s="8">
        <v>567</v>
      </c>
      <c r="B570" s="6">
        <v>1640114.2421499486</v>
      </c>
    </row>
    <row r="571" spans="1:2" x14ac:dyDescent="0.35">
      <c r="A571" s="8">
        <v>568</v>
      </c>
      <c r="B571" s="6">
        <v>1640427.4834818321</v>
      </c>
    </row>
    <row r="572" spans="1:2" x14ac:dyDescent="0.35">
      <c r="A572" s="8">
        <v>569</v>
      </c>
      <c r="B572" s="6">
        <v>1641849.3327906518</v>
      </c>
    </row>
    <row r="573" spans="1:2" x14ac:dyDescent="0.35">
      <c r="A573" s="8">
        <v>570</v>
      </c>
      <c r="B573" s="6">
        <v>1642269.2813927045</v>
      </c>
    </row>
    <row r="574" spans="1:2" x14ac:dyDescent="0.35">
      <c r="A574" s="8">
        <v>571</v>
      </c>
      <c r="B574" s="6">
        <v>1642351.9209524146</v>
      </c>
    </row>
    <row r="575" spans="1:2" x14ac:dyDescent="0.35">
      <c r="A575" s="8">
        <v>572</v>
      </c>
      <c r="B575" s="6">
        <v>1644927.4787743641</v>
      </c>
    </row>
    <row r="576" spans="1:2" x14ac:dyDescent="0.35">
      <c r="A576" s="8">
        <v>573</v>
      </c>
      <c r="B576" s="6">
        <v>1646112.5775055289</v>
      </c>
    </row>
    <row r="577" spans="1:2" x14ac:dyDescent="0.35">
      <c r="A577" s="8">
        <v>574</v>
      </c>
      <c r="B577" s="6">
        <v>1646465.2683554967</v>
      </c>
    </row>
    <row r="578" spans="1:2" x14ac:dyDescent="0.35">
      <c r="A578" s="8">
        <v>575</v>
      </c>
      <c r="B578" s="6">
        <v>1648152.2601804482</v>
      </c>
    </row>
    <row r="579" spans="1:2" x14ac:dyDescent="0.35">
      <c r="A579" s="8">
        <v>576</v>
      </c>
      <c r="B579" s="6">
        <v>1649312.9488986693</v>
      </c>
    </row>
    <row r="580" spans="1:2" x14ac:dyDescent="0.35">
      <c r="A580" s="8">
        <v>577</v>
      </c>
      <c r="B580" s="6">
        <v>1651747.6247303714</v>
      </c>
    </row>
    <row r="581" spans="1:2" x14ac:dyDescent="0.35">
      <c r="A581" s="8">
        <v>578</v>
      </c>
      <c r="B581" s="6">
        <v>1652458.9993033973</v>
      </c>
    </row>
    <row r="582" spans="1:2" x14ac:dyDescent="0.35">
      <c r="A582" s="8">
        <v>579</v>
      </c>
      <c r="B582" s="6">
        <v>1652594.1344160843</v>
      </c>
    </row>
    <row r="583" spans="1:2" x14ac:dyDescent="0.35">
      <c r="A583" s="8">
        <v>580</v>
      </c>
      <c r="B583" s="6">
        <v>1652602.2003533372</v>
      </c>
    </row>
    <row r="584" spans="1:2" x14ac:dyDescent="0.35">
      <c r="A584" s="8">
        <v>581</v>
      </c>
      <c r="B584" s="6">
        <v>1654093.2061853553</v>
      </c>
    </row>
    <row r="585" spans="1:2" x14ac:dyDescent="0.35">
      <c r="A585" s="8">
        <v>582</v>
      </c>
      <c r="B585" s="6">
        <v>1655784.2768166054</v>
      </c>
    </row>
    <row r="586" spans="1:2" x14ac:dyDescent="0.35">
      <c r="A586" s="8">
        <v>583</v>
      </c>
      <c r="B586" s="6">
        <v>1656071.1870006099</v>
      </c>
    </row>
    <row r="587" spans="1:2" x14ac:dyDescent="0.35">
      <c r="A587" s="8">
        <v>584</v>
      </c>
      <c r="B587" s="6">
        <v>1656652.1669781827</v>
      </c>
    </row>
    <row r="588" spans="1:2" x14ac:dyDescent="0.35">
      <c r="A588" s="8">
        <v>585</v>
      </c>
      <c r="B588" s="6">
        <v>1657013.3101366167</v>
      </c>
    </row>
    <row r="589" spans="1:2" x14ac:dyDescent="0.35">
      <c r="A589" s="8">
        <v>586</v>
      </c>
      <c r="B589" s="6">
        <v>1657882.5170834458</v>
      </c>
    </row>
    <row r="590" spans="1:2" x14ac:dyDescent="0.35">
      <c r="A590" s="8">
        <v>587</v>
      </c>
      <c r="B590" s="6">
        <v>1658325.638657731</v>
      </c>
    </row>
    <row r="591" spans="1:2" x14ac:dyDescent="0.35">
      <c r="A591" s="8">
        <v>588</v>
      </c>
      <c r="B591" s="6">
        <v>1658936.4582558717</v>
      </c>
    </row>
    <row r="592" spans="1:2" x14ac:dyDescent="0.35">
      <c r="A592" s="8">
        <v>589</v>
      </c>
      <c r="B592" s="6">
        <v>1660943.4602392337</v>
      </c>
    </row>
    <row r="593" spans="1:2" x14ac:dyDescent="0.35">
      <c r="A593" s="8">
        <v>590</v>
      </c>
      <c r="B593" s="6">
        <v>1661120.8612609524</v>
      </c>
    </row>
    <row r="594" spans="1:2" x14ac:dyDescent="0.35">
      <c r="A594" s="8">
        <v>591</v>
      </c>
      <c r="B594" s="6">
        <v>1661550.2015799207</v>
      </c>
    </row>
    <row r="595" spans="1:2" x14ac:dyDescent="0.35">
      <c r="A595" s="8">
        <v>592</v>
      </c>
      <c r="B595" s="6">
        <v>1661794.0404576976</v>
      </c>
    </row>
    <row r="596" spans="1:2" x14ac:dyDescent="0.35">
      <c r="A596" s="8">
        <v>593</v>
      </c>
      <c r="B596" s="6">
        <v>1662013.181168847</v>
      </c>
    </row>
    <row r="597" spans="1:2" x14ac:dyDescent="0.35">
      <c r="A597" s="8">
        <v>594</v>
      </c>
      <c r="B597" s="6">
        <v>1662505.2637558135</v>
      </c>
    </row>
    <row r="598" spans="1:2" x14ac:dyDescent="0.35">
      <c r="A598" s="8">
        <v>595</v>
      </c>
      <c r="B598" s="6">
        <v>1663360.464485876</v>
      </c>
    </row>
    <row r="599" spans="1:2" x14ac:dyDescent="0.35">
      <c r="A599" s="8">
        <v>596</v>
      </c>
      <c r="B599" s="6">
        <v>1664171.9378625152</v>
      </c>
    </row>
    <row r="600" spans="1:2" x14ac:dyDescent="0.35">
      <c r="A600" s="8">
        <v>597</v>
      </c>
      <c r="B600" s="6">
        <v>1664246.5515971519</v>
      </c>
    </row>
    <row r="601" spans="1:2" x14ac:dyDescent="0.35">
      <c r="A601" s="8">
        <v>598</v>
      </c>
      <c r="B601" s="6">
        <v>1665309.2861221521</v>
      </c>
    </row>
    <row r="602" spans="1:2" x14ac:dyDescent="0.35">
      <c r="A602" s="8">
        <v>599</v>
      </c>
      <c r="B602" s="6">
        <v>1665875.8783668415</v>
      </c>
    </row>
    <row r="603" spans="1:2" x14ac:dyDescent="0.35">
      <c r="A603" s="8">
        <v>600</v>
      </c>
      <c r="B603" s="6">
        <v>1666275.564258846</v>
      </c>
    </row>
    <row r="604" spans="1:2" x14ac:dyDescent="0.35">
      <c r="A604" s="8">
        <v>601</v>
      </c>
      <c r="B604" s="6">
        <v>1666481.7406931343</v>
      </c>
    </row>
    <row r="605" spans="1:2" x14ac:dyDescent="0.35">
      <c r="A605" s="8">
        <v>602</v>
      </c>
      <c r="B605" s="6">
        <v>1667313.9093244753</v>
      </c>
    </row>
    <row r="606" spans="1:2" x14ac:dyDescent="0.35">
      <c r="A606" s="8">
        <v>603</v>
      </c>
      <c r="B606" s="6">
        <v>1668026.0122586489</v>
      </c>
    </row>
    <row r="607" spans="1:2" x14ac:dyDescent="0.35">
      <c r="A607" s="8">
        <v>604</v>
      </c>
      <c r="B607" s="6">
        <v>1668058.0630298965</v>
      </c>
    </row>
    <row r="608" spans="1:2" x14ac:dyDescent="0.35">
      <c r="A608" s="8">
        <v>605</v>
      </c>
      <c r="B608" s="6">
        <v>1668098.2407216297</v>
      </c>
    </row>
    <row r="609" spans="1:2" x14ac:dyDescent="0.35">
      <c r="A609" s="8">
        <v>606</v>
      </c>
      <c r="B609" s="6">
        <v>1670539.0078031686</v>
      </c>
    </row>
    <row r="610" spans="1:2" x14ac:dyDescent="0.35">
      <c r="A610" s="8">
        <v>607</v>
      </c>
      <c r="B610" s="6">
        <v>1670793.7703210404</v>
      </c>
    </row>
    <row r="611" spans="1:2" x14ac:dyDescent="0.35">
      <c r="A611" s="8">
        <v>608</v>
      </c>
      <c r="B611" s="6">
        <v>1672149.042262638</v>
      </c>
    </row>
    <row r="612" spans="1:2" x14ac:dyDescent="0.35">
      <c r="A612" s="8">
        <v>609</v>
      </c>
      <c r="B612" s="6">
        <v>1675323.6882095281</v>
      </c>
    </row>
    <row r="613" spans="1:2" x14ac:dyDescent="0.35">
      <c r="A613" s="8">
        <v>610</v>
      </c>
      <c r="B613" s="6">
        <v>1676232.0338666332</v>
      </c>
    </row>
    <row r="614" spans="1:2" x14ac:dyDescent="0.35">
      <c r="A614" s="8">
        <v>611</v>
      </c>
      <c r="B614" s="6">
        <v>1676654.8174528026</v>
      </c>
    </row>
    <row r="615" spans="1:2" x14ac:dyDescent="0.35">
      <c r="A615" s="8">
        <v>612</v>
      </c>
      <c r="B615" s="6">
        <v>1678972.7648254605</v>
      </c>
    </row>
    <row r="616" spans="1:2" x14ac:dyDescent="0.35">
      <c r="A616" s="8">
        <v>613</v>
      </c>
      <c r="B616" s="6">
        <v>1679148.6154994147</v>
      </c>
    </row>
    <row r="617" spans="1:2" x14ac:dyDescent="0.35">
      <c r="A617" s="8">
        <v>614</v>
      </c>
      <c r="B617" s="6">
        <v>1679675.3795202472</v>
      </c>
    </row>
    <row r="618" spans="1:2" x14ac:dyDescent="0.35">
      <c r="A618" s="8">
        <v>615</v>
      </c>
      <c r="B618" s="6">
        <v>1680073.8906436122</v>
      </c>
    </row>
    <row r="619" spans="1:2" x14ac:dyDescent="0.35">
      <c r="A619" s="8">
        <v>616</v>
      </c>
      <c r="B619" s="6">
        <v>1683533.2539126081</v>
      </c>
    </row>
    <row r="620" spans="1:2" x14ac:dyDescent="0.35">
      <c r="A620" s="8">
        <v>617</v>
      </c>
      <c r="B620" s="6">
        <v>1684593.5958078138</v>
      </c>
    </row>
    <row r="621" spans="1:2" x14ac:dyDescent="0.35">
      <c r="A621" s="8">
        <v>618</v>
      </c>
      <c r="B621" s="6">
        <v>1684610.2467751915</v>
      </c>
    </row>
    <row r="622" spans="1:2" x14ac:dyDescent="0.35">
      <c r="A622" s="8">
        <v>619</v>
      </c>
      <c r="B622" s="6">
        <v>1685548.6686249087</v>
      </c>
    </row>
    <row r="623" spans="1:2" x14ac:dyDescent="0.35">
      <c r="A623" s="8">
        <v>620</v>
      </c>
      <c r="B623" s="6">
        <v>1685845.7382853115</v>
      </c>
    </row>
    <row r="624" spans="1:2" x14ac:dyDescent="0.35">
      <c r="A624" s="8">
        <v>621</v>
      </c>
      <c r="B624" s="6">
        <v>1688020.751940442</v>
      </c>
    </row>
    <row r="625" spans="1:2" x14ac:dyDescent="0.35">
      <c r="A625" s="8">
        <v>622</v>
      </c>
      <c r="B625" s="6">
        <v>1689074.5954368748</v>
      </c>
    </row>
    <row r="626" spans="1:2" x14ac:dyDescent="0.35">
      <c r="A626" s="8">
        <v>623</v>
      </c>
      <c r="B626" s="6">
        <v>1690559.7499471693</v>
      </c>
    </row>
    <row r="627" spans="1:2" x14ac:dyDescent="0.35">
      <c r="A627" s="8">
        <v>624</v>
      </c>
      <c r="B627" s="6">
        <v>1692314.5497636825</v>
      </c>
    </row>
    <row r="628" spans="1:2" x14ac:dyDescent="0.35">
      <c r="A628" s="8">
        <v>625</v>
      </c>
      <c r="B628" s="6">
        <v>1692526.4814914386</v>
      </c>
    </row>
    <row r="629" spans="1:2" x14ac:dyDescent="0.35">
      <c r="A629" s="8">
        <v>626</v>
      </c>
      <c r="B629" s="6">
        <v>1692728.6298881557</v>
      </c>
    </row>
    <row r="630" spans="1:2" x14ac:dyDescent="0.35">
      <c r="A630" s="8">
        <v>627</v>
      </c>
      <c r="B630" s="6">
        <v>1693270.8737971776</v>
      </c>
    </row>
    <row r="631" spans="1:2" x14ac:dyDescent="0.35">
      <c r="A631" s="8">
        <v>628</v>
      </c>
      <c r="B631" s="6">
        <v>1693345.6048310646</v>
      </c>
    </row>
    <row r="632" spans="1:2" x14ac:dyDescent="0.35">
      <c r="A632" s="8">
        <v>629</v>
      </c>
      <c r="B632" s="6">
        <v>1694570.2577190129</v>
      </c>
    </row>
    <row r="633" spans="1:2" x14ac:dyDescent="0.35">
      <c r="A633" s="8">
        <v>630</v>
      </c>
      <c r="B633" s="6">
        <v>1694663.8439218593</v>
      </c>
    </row>
    <row r="634" spans="1:2" x14ac:dyDescent="0.35">
      <c r="A634" s="8">
        <v>631</v>
      </c>
      <c r="B634" s="6">
        <v>1696919.1036043938</v>
      </c>
    </row>
    <row r="635" spans="1:2" x14ac:dyDescent="0.35">
      <c r="A635" s="8">
        <v>632</v>
      </c>
      <c r="B635" s="6">
        <v>1696979.553387841</v>
      </c>
    </row>
    <row r="636" spans="1:2" x14ac:dyDescent="0.35">
      <c r="A636" s="8">
        <v>633</v>
      </c>
      <c r="B636" s="6">
        <v>1698390.2550364251</v>
      </c>
    </row>
    <row r="637" spans="1:2" x14ac:dyDescent="0.35">
      <c r="A637" s="8">
        <v>634</v>
      </c>
      <c r="B637" s="6">
        <v>1700609.0201157038</v>
      </c>
    </row>
    <row r="638" spans="1:2" x14ac:dyDescent="0.35">
      <c r="A638" s="8">
        <v>635</v>
      </c>
      <c r="B638" s="6">
        <v>1701043.2893353906</v>
      </c>
    </row>
    <row r="639" spans="1:2" x14ac:dyDescent="0.35">
      <c r="A639" s="8">
        <v>636</v>
      </c>
      <c r="B639" s="6">
        <v>1701857.4750078847</v>
      </c>
    </row>
    <row r="640" spans="1:2" x14ac:dyDescent="0.35">
      <c r="A640" s="8">
        <v>637</v>
      </c>
      <c r="B640" s="6">
        <v>1701955.0679414039</v>
      </c>
    </row>
    <row r="641" spans="1:2" x14ac:dyDescent="0.35">
      <c r="A641" s="8">
        <v>638</v>
      </c>
      <c r="B641" s="6">
        <v>1702893.4647326341</v>
      </c>
    </row>
    <row r="642" spans="1:2" x14ac:dyDescent="0.35">
      <c r="A642" s="8">
        <v>639</v>
      </c>
      <c r="B642" s="6">
        <v>1703465.6305744634</v>
      </c>
    </row>
    <row r="643" spans="1:2" x14ac:dyDescent="0.35">
      <c r="A643" s="8">
        <v>640</v>
      </c>
      <c r="B643" s="6">
        <v>1705146.6448007198</v>
      </c>
    </row>
    <row r="644" spans="1:2" x14ac:dyDescent="0.35">
      <c r="A644" s="8">
        <v>641</v>
      </c>
      <c r="B644" s="6">
        <v>1705791.6228731279</v>
      </c>
    </row>
    <row r="645" spans="1:2" x14ac:dyDescent="0.35">
      <c r="A645" s="8">
        <v>642</v>
      </c>
      <c r="B645" s="6">
        <v>1706545.1098007674</v>
      </c>
    </row>
    <row r="646" spans="1:2" x14ac:dyDescent="0.35">
      <c r="A646" s="8">
        <v>643</v>
      </c>
      <c r="B646" s="6">
        <v>1706671.814405984</v>
      </c>
    </row>
    <row r="647" spans="1:2" x14ac:dyDescent="0.35">
      <c r="A647" s="8">
        <v>644</v>
      </c>
      <c r="B647" s="6">
        <v>1707598.3050648354</v>
      </c>
    </row>
    <row r="648" spans="1:2" x14ac:dyDescent="0.35">
      <c r="A648" s="8">
        <v>645</v>
      </c>
      <c r="B648" s="6">
        <v>1708363.3703578752</v>
      </c>
    </row>
    <row r="649" spans="1:2" x14ac:dyDescent="0.35">
      <c r="A649" s="8">
        <v>646</v>
      </c>
      <c r="B649" s="6">
        <v>1708397.847205518</v>
      </c>
    </row>
    <row r="650" spans="1:2" x14ac:dyDescent="0.35">
      <c r="A650" s="8">
        <v>647</v>
      </c>
      <c r="B650" s="6">
        <v>1709008.7141604894</v>
      </c>
    </row>
    <row r="651" spans="1:2" x14ac:dyDescent="0.35">
      <c r="A651" s="8">
        <v>648</v>
      </c>
      <c r="B651" s="6">
        <v>1710517.386779469</v>
      </c>
    </row>
    <row r="652" spans="1:2" x14ac:dyDescent="0.35">
      <c r="A652" s="8">
        <v>649</v>
      </c>
      <c r="B652" s="6">
        <v>1710549.7089061765</v>
      </c>
    </row>
    <row r="653" spans="1:2" x14ac:dyDescent="0.35">
      <c r="A653" s="8">
        <v>650</v>
      </c>
      <c r="B653" s="6">
        <v>1710648.3934672619</v>
      </c>
    </row>
    <row r="654" spans="1:2" x14ac:dyDescent="0.35">
      <c r="A654" s="8">
        <v>651</v>
      </c>
      <c r="B654" s="6">
        <v>1713155.8827320004</v>
      </c>
    </row>
    <row r="655" spans="1:2" x14ac:dyDescent="0.35">
      <c r="A655" s="8">
        <v>652</v>
      </c>
      <c r="B655" s="6">
        <v>1713916.5075492577</v>
      </c>
    </row>
    <row r="656" spans="1:2" x14ac:dyDescent="0.35">
      <c r="A656" s="8">
        <v>653</v>
      </c>
      <c r="B656" s="6">
        <v>1714860.8213580402</v>
      </c>
    </row>
    <row r="657" spans="1:2" x14ac:dyDescent="0.35">
      <c r="A657" s="8">
        <v>654</v>
      </c>
      <c r="B657" s="6">
        <v>1715394.4082366927</v>
      </c>
    </row>
    <row r="658" spans="1:2" x14ac:dyDescent="0.35">
      <c r="A658" s="8">
        <v>655</v>
      </c>
      <c r="B658" s="6">
        <v>1715970.7614675879</v>
      </c>
    </row>
    <row r="659" spans="1:2" x14ac:dyDescent="0.35">
      <c r="A659" s="8">
        <v>656</v>
      </c>
      <c r="B659" s="6">
        <v>1715988.4675022815</v>
      </c>
    </row>
    <row r="660" spans="1:2" x14ac:dyDescent="0.35">
      <c r="A660" s="8">
        <v>657</v>
      </c>
      <c r="B660" s="6">
        <v>1716581.4607473009</v>
      </c>
    </row>
    <row r="661" spans="1:2" x14ac:dyDescent="0.35">
      <c r="A661" s="8">
        <v>658</v>
      </c>
      <c r="B661" s="6">
        <v>1716885.4990430232</v>
      </c>
    </row>
    <row r="662" spans="1:2" x14ac:dyDescent="0.35">
      <c r="A662" s="8">
        <v>659</v>
      </c>
      <c r="B662" s="6">
        <v>1717294.572135089</v>
      </c>
    </row>
    <row r="663" spans="1:2" x14ac:dyDescent="0.35">
      <c r="A663" s="8">
        <v>660</v>
      </c>
      <c r="B663" s="6">
        <v>1719629.2359058622</v>
      </c>
    </row>
    <row r="664" spans="1:2" x14ac:dyDescent="0.35">
      <c r="A664" s="8">
        <v>661</v>
      </c>
      <c r="B664" s="6">
        <v>1720204.0308472631</v>
      </c>
    </row>
    <row r="665" spans="1:2" x14ac:dyDescent="0.35">
      <c r="A665" s="8">
        <v>662</v>
      </c>
      <c r="B665" s="6">
        <v>1720400.1969428319</v>
      </c>
    </row>
    <row r="666" spans="1:2" x14ac:dyDescent="0.35">
      <c r="A666" s="8">
        <v>663</v>
      </c>
      <c r="B666" s="6">
        <v>1721191.327010497</v>
      </c>
    </row>
    <row r="667" spans="1:2" x14ac:dyDescent="0.35">
      <c r="A667" s="8">
        <v>664</v>
      </c>
      <c r="B667" s="6">
        <v>1721559.7654427281</v>
      </c>
    </row>
    <row r="668" spans="1:2" x14ac:dyDescent="0.35">
      <c r="A668" s="8">
        <v>665</v>
      </c>
      <c r="B668" s="6">
        <v>1722786.0892148248</v>
      </c>
    </row>
    <row r="669" spans="1:2" x14ac:dyDescent="0.35">
      <c r="A669" s="8">
        <v>666</v>
      </c>
      <c r="B669" s="6">
        <v>1723331.2379412558</v>
      </c>
    </row>
    <row r="670" spans="1:2" x14ac:dyDescent="0.35">
      <c r="A670" s="8">
        <v>667</v>
      </c>
      <c r="B670" s="6">
        <v>1723582.4514703308</v>
      </c>
    </row>
    <row r="671" spans="1:2" x14ac:dyDescent="0.35">
      <c r="A671" s="8">
        <v>668</v>
      </c>
      <c r="B671" s="6">
        <v>1723769.4581458871</v>
      </c>
    </row>
    <row r="672" spans="1:2" x14ac:dyDescent="0.35">
      <c r="A672" s="8">
        <v>669</v>
      </c>
      <c r="B672" s="6">
        <v>1724420.9817220687</v>
      </c>
    </row>
    <row r="673" spans="1:2" x14ac:dyDescent="0.35">
      <c r="A673" s="8">
        <v>670</v>
      </c>
      <c r="B673" s="6">
        <v>1724706.9774599692</v>
      </c>
    </row>
    <row r="674" spans="1:2" x14ac:dyDescent="0.35">
      <c r="A674" s="8">
        <v>671</v>
      </c>
      <c r="B674" s="6">
        <v>1725411.9131589737</v>
      </c>
    </row>
    <row r="675" spans="1:2" x14ac:dyDescent="0.35">
      <c r="A675" s="8">
        <v>672</v>
      </c>
      <c r="B675" s="6">
        <v>1726659.6021403465</v>
      </c>
    </row>
    <row r="676" spans="1:2" x14ac:dyDescent="0.35">
      <c r="A676" s="8">
        <v>673</v>
      </c>
      <c r="B676" s="6">
        <v>1726892.2495736671</v>
      </c>
    </row>
    <row r="677" spans="1:2" x14ac:dyDescent="0.35">
      <c r="A677" s="8">
        <v>674</v>
      </c>
      <c r="B677" s="6">
        <v>1727570.0893786326</v>
      </c>
    </row>
    <row r="678" spans="1:2" x14ac:dyDescent="0.35">
      <c r="A678" s="8">
        <v>675</v>
      </c>
      <c r="B678" s="6">
        <v>1728172.1921380572</v>
      </c>
    </row>
    <row r="679" spans="1:2" x14ac:dyDescent="0.35">
      <c r="A679" s="8">
        <v>676</v>
      </c>
      <c r="B679" s="6">
        <v>1729771.3470340818</v>
      </c>
    </row>
    <row r="680" spans="1:2" x14ac:dyDescent="0.35">
      <c r="A680" s="8">
        <v>677</v>
      </c>
      <c r="B680" s="6">
        <v>1730062.0111911674</v>
      </c>
    </row>
    <row r="681" spans="1:2" x14ac:dyDescent="0.35">
      <c r="A681" s="8">
        <v>678</v>
      </c>
      <c r="B681" s="6">
        <v>1730108.8639689963</v>
      </c>
    </row>
    <row r="682" spans="1:2" x14ac:dyDescent="0.35">
      <c r="A682" s="8">
        <v>679</v>
      </c>
      <c r="B682" s="6">
        <v>1731033.3145928532</v>
      </c>
    </row>
    <row r="683" spans="1:2" x14ac:dyDescent="0.35">
      <c r="A683" s="8">
        <v>680</v>
      </c>
      <c r="B683" s="6">
        <v>1731392.1300243954</v>
      </c>
    </row>
    <row r="684" spans="1:2" x14ac:dyDescent="0.35">
      <c r="A684" s="8">
        <v>681</v>
      </c>
      <c r="B684" s="6">
        <v>1731745.3888332492</v>
      </c>
    </row>
    <row r="685" spans="1:2" x14ac:dyDescent="0.35">
      <c r="A685" s="8">
        <v>682</v>
      </c>
      <c r="B685" s="6">
        <v>1732337.3982525901</v>
      </c>
    </row>
    <row r="686" spans="1:2" x14ac:dyDescent="0.35">
      <c r="A686" s="8">
        <v>683</v>
      </c>
      <c r="B686" s="6">
        <v>1735411.5691129549</v>
      </c>
    </row>
    <row r="687" spans="1:2" x14ac:dyDescent="0.35">
      <c r="A687" s="8">
        <v>684</v>
      </c>
      <c r="B687" s="6">
        <v>1736722.5638464398</v>
      </c>
    </row>
    <row r="688" spans="1:2" x14ac:dyDescent="0.35">
      <c r="A688" s="8">
        <v>685</v>
      </c>
      <c r="B688" s="6">
        <v>1737321.2082281776</v>
      </c>
    </row>
    <row r="689" spans="1:2" x14ac:dyDescent="0.35">
      <c r="A689" s="8">
        <v>686</v>
      </c>
      <c r="B689" s="6">
        <v>1739323.7634189068</v>
      </c>
    </row>
    <row r="690" spans="1:2" x14ac:dyDescent="0.35">
      <c r="A690" s="8">
        <v>687</v>
      </c>
      <c r="B690" s="6">
        <v>1740567.4472055873</v>
      </c>
    </row>
    <row r="691" spans="1:2" x14ac:dyDescent="0.35">
      <c r="A691" s="8">
        <v>688</v>
      </c>
      <c r="B691" s="6">
        <v>1741371.9561930692</v>
      </c>
    </row>
    <row r="692" spans="1:2" x14ac:dyDescent="0.35">
      <c r="A692" s="8">
        <v>689</v>
      </c>
      <c r="B692" s="6">
        <v>1742383.4122572895</v>
      </c>
    </row>
    <row r="693" spans="1:2" x14ac:dyDescent="0.35">
      <c r="A693" s="8">
        <v>690</v>
      </c>
      <c r="B693" s="6">
        <v>1743048.2990940129</v>
      </c>
    </row>
    <row r="694" spans="1:2" x14ac:dyDescent="0.35">
      <c r="A694" s="8">
        <v>691</v>
      </c>
      <c r="B694" s="6">
        <v>1744054.4534130981</v>
      </c>
    </row>
    <row r="695" spans="1:2" x14ac:dyDescent="0.35">
      <c r="A695" s="8">
        <v>692</v>
      </c>
      <c r="B695" s="6">
        <v>1744854.4362332695</v>
      </c>
    </row>
    <row r="696" spans="1:2" x14ac:dyDescent="0.35">
      <c r="A696" s="8">
        <v>693</v>
      </c>
      <c r="B696" s="6">
        <v>1745063.8021559576</v>
      </c>
    </row>
    <row r="697" spans="1:2" x14ac:dyDescent="0.35">
      <c r="A697" s="8">
        <v>694</v>
      </c>
      <c r="B697" s="6">
        <v>1745934.1753321334</v>
      </c>
    </row>
    <row r="698" spans="1:2" x14ac:dyDescent="0.35">
      <c r="A698" s="8">
        <v>695</v>
      </c>
      <c r="B698" s="6">
        <v>1746364.4925205368</v>
      </c>
    </row>
    <row r="699" spans="1:2" x14ac:dyDescent="0.35">
      <c r="A699" s="8">
        <v>696</v>
      </c>
      <c r="B699" s="6">
        <v>1748116.4240321433</v>
      </c>
    </row>
    <row r="700" spans="1:2" x14ac:dyDescent="0.35">
      <c r="A700" s="8">
        <v>697</v>
      </c>
      <c r="B700" s="6">
        <v>1749103.6198450169</v>
      </c>
    </row>
    <row r="701" spans="1:2" x14ac:dyDescent="0.35">
      <c r="A701" s="8">
        <v>698</v>
      </c>
      <c r="B701" s="6">
        <v>1749213.3437675531</v>
      </c>
    </row>
    <row r="702" spans="1:2" x14ac:dyDescent="0.35">
      <c r="A702" s="8">
        <v>699</v>
      </c>
      <c r="B702" s="6">
        <v>1749508.7641398681</v>
      </c>
    </row>
    <row r="703" spans="1:2" x14ac:dyDescent="0.35">
      <c r="A703" s="8">
        <v>700</v>
      </c>
      <c r="B703" s="6">
        <v>1749562.362627232</v>
      </c>
    </row>
    <row r="704" spans="1:2" x14ac:dyDescent="0.35">
      <c r="A704" s="8">
        <v>701</v>
      </c>
      <c r="B704" s="6">
        <v>1749652.708198959</v>
      </c>
    </row>
    <row r="705" spans="1:2" x14ac:dyDescent="0.35">
      <c r="A705" s="8">
        <v>702</v>
      </c>
      <c r="B705" s="6">
        <v>1750114.7394785797</v>
      </c>
    </row>
    <row r="706" spans="1:2" x14ac:dyDescent="0.35">
      <c r="A706" s="8">
        <v>703</v>
      </c>
      <c r="B706" s="6">
        <v>1752644.053760862</v>
      </c>
    </row>
    <row r="707" spans="1:2" x14ac:dyDescent="0.35">
      <c r="A707" s="8">
        <v>704</v>
      </c>
      <c r="B707" s="6">
        <v>1752746.7039560485</v>
      </c>
    </row>
    <row r="708" spans="1:2" x14ac:dyDescent="0.35">
      <c r="A708" s="8">
        <v>705</v>
      </c>
      <c r="B708" s="6">
        <v>1753560.0001206796</v>
      </c>
    </row>
    <row r="709" spans="1:2" x14ac:dyDescent="0.35">
      <c r="A709" s="8">
        <v>706</v>
      </c>
      <c r="B709" s="6">
        <v>1754396.474276684</v>
      </c>
    </row>
    <row r="710" spans="1:2" x14ac:dyDescent="0.35">
      <c r="A710" s="8">
        <v>707</v>
      </c>
      <c r="B710" s="6">
        <v>1754454.5159102795</v>
      </c>
    </row>
    <row r="711" spans="1:2" x14ac:dyDescent="0.35">
      <c r="A711" s="8">
        <v>708</v>
      </c>
      <c r="B711" s="6">
        <v>1754601.7715060089</v>
      </c>
    </row>
    <row r="712" spans="1:2" x14ac:dyDescent="0.35">
      <c r="A712" s="8">
        <v>709</v>
      </c>
      <c r="B712" s="6">
        <v>1757176.4373840271</v>
      </c>
    </row>
    <row r="713" spans="1:2" x14ac:dyDescent="0.35">
      <c r="A713" s="8">
        <v>710</v>
      </c>
      <c r="B713" s="6">
        <v>1757369.3409750341</v>
      </c>
    </row>
    <row r="714" spans="1:2" x14ac:dyDescent="0.35">
      <c r="A714" s="8">
        <v>711</v>
      </c>
      <c r="B714" s="6">
        <v>1757937.2504245064</v>
      </c>
    </row>
    <row r="715" spans="1:2" x14ac:dyDescent="0.35">
      <c r="A715" s="8">
        <v>712</v>
      </c>
      <c r="B715" s="6">
        <v>1759623.3343538619</v>
      </c>
    </row>
    <row r="716" spans="1:2" x14ac:dyDescent="0.35">
      <c r="A716" s="8">
        <v>713</v>
      </c>
      <c r="B716" s="6">
        <v>1762225.9650179767</v>
      </c>
    </row>
    <row r="717" spans="1:2" x14ac:dyDescent="0.35">
      <c r="A717" s="8">
        <v>714</v>
      </c>
      <c r="B717" s="6">
        <v>1762723.4474477344</v>
      </c>
    </row>
    <row r="718" spans="1:2" x14ac:dyDescent="0.35">
      <c r="A718" s="8">
        <v>715</v>
      </c>
      <c r="B718" s="6">
        <v>1762831.1275115646</v>
      </c>
    </row>
    <row r="719" spans="1:2" x14ac:dyDescent="0.35">
      <c r="A719" s="8">
        <v>716</v>
      </c>
      <c r="B719" s="6">
        <v>1762867.2678031581</v>
      </c>
    </row>
    <row r="720" spans="1:2" x14ac:dyDescent="0.35">
      <c r="A720" s="8">
        <v>717</v>
      </c>
      <c r="B720" s="6">
        <v>1763009.0336419062</v>
      </c>
    </row>
    <row r="721" spans="1:2" x14ac:dyDescent="0.35">
      <c r="A721" s="8">
        <v>718</v>
      </c>
      <c r="B721" s="6">
        <v>1763178.9965319487</v>
      </c>
    </row>
    <row r="722" spans="1:2" x14ac:dyDescent="0.35">
      <c r="A722" s="8">
        <v>719</v>
      </c>
      <c r="B722" s="6">
        <v>1763518.1277484568</v>
      </c>
    </row>
    <row r="723" spans="1:2" x14ac:dyDescent="0.35">
      <c r="A723" s="8">
        <v>720</v>
      </c>
      <c r="B723" s="6">
        <v>1765736.8330096239</v>
      </c>
    </row>
    <row r="724" spans="1:2" x14ac:dyDescent="0.35">
      <c r="A724" s="8">
        <v>721</v>
      </c>
      <c r="B724" s="6">
        <v>1768859.7545122907</v>
      </c>
    </row>
    <row r="725" spans="1:2" x14ac:dyDescent="0.35">
      <c r="A725" s="8">
        <v>722</v>
      </c>
      <c r="B725" s="6">
        <v>1771341.7624600118</v>
      </c>
    </row>
    <row r="726" spans="1:2" x14ac:dyDescent="0.35">
      <c r="A726" s="8">
        <v>723</v>
      </c>
      <c r="B726" s="6">
        <v>1772070.4484989289</v>
      </c>
    </row>
    <row r="727" spans="1:2" x14ac:dyDescent="0.35">
      <c r="A727" s="8">
        <v>724</v>
      </c>
      <c r="B727" s="6">
        <v>1772518.2658058065</v>
      </c>
    </row>
    <row r="728" spans="1:2" x14ac:dyDescent="0.35">
      <c r="A728" s="8">
        <v>725</v>
      </c>
      <c r="B728" s="6">
        <v>1773667.2524919426</v>
      </c>
    </row>
    <row r="729" spans="1:2" x14ac:dyDescent="0.35">
      <c r="A729" s="8">
        <v>726</v>
      </c>
      <c r="B729" s="6">
        <v>1774189.0139550152</v>
      </c>
    </row>
    <row r="730" spans="1:2" x14ac:dyDescent="0.35">
      <c r="A730" s="8">
        <v>727</v>
      </c>
      <c r="B730" s="6">
        <v>1775157.485331547</v>
      </c>
    </row>
    <row r="731" spans="1:2" x14ac:dyDescent="0.35">
      <c r="A731" s="8">
        <v>728</v>
      </c>
      <c r="B731" s="6">
        <v>1776562.8189396239</v>
      </c>
    </row>
    <row r="732" spans="1:2" x14ac:dyDescent="0.35">
      <c r="A732" s="8">
        <v>729</v>
      </c>
      <c r="B732" s="6">
        <v>1776645.8274390851</v>
      </c>
    </row>
    <row r="733" spans="1:2" x14ac:dyDescent="0.35">
      <c r="A733" s="8">
        <v>730</v>
      </c>
      <c r="B733" s="6">
        <v>1777054.4448934251</v>
      </c>
    </row>
    <row r="734" spans="1:2" x14ac:dyDescent="0.35">
      <c r="A734" s="8">
        <v>731</v>
      </c>
      <c r="B734" s="6">
        <v>1781500.4907581364</v>
      </c>
    </row>
    <row r="735" spans="1:2" x14ac:dyDescent="0.35">
      <c r="A735" s="8">
        <v>732</v>
      </c>
      <c r="B735" s="6">
        <v>1781718.0985244615</v>
      </c>
    </row>
    <row r="736" spans="1:2" x14ac:dyDescent="0.35">
      <c r="A736" s="8">
        <v>733</v>
      </c>
      <c r="B736" s="6">
        <v>1782422.8578799532</v>
      </c>
    </row>
    <row r="737" spans="1:2" x14ac:dyDescent="0.35">
      <c r="A737" s="8">
        <v>734</v>
      </c>
      <c r="B737" s="6">
        <v>1782614.0036723474</v>
      </c>
    </row>
    <row r="738" spans="1:2" x14ac:dyDescent="0.35">
      <c r="A738" s="8">
        <v>735</v>
      </c>
      <c r="B738" s="6">
        <v>1787363.1733736743</v>
      </c>
    </row>
    <row r="739" spans="1:2" x14ac:dyDescent="0.35">
      <c r="A739" s="8">
        <v>736</v>
      </c>
      <c r="B739" s="6">
        <v>1789967.1947514133</v>
      </c>
    </row>
    <row r="740" spans="1:2" x14ac:dyDescent="0.35">
      <c r="A740" s="8">
        <v>737</v>
      </c>
      <c r="B740" s="6">
        <v>1790754.8847066814</v>
      </c>
    </row>
    <row r="741" spans="1:2" x14ac:dyDescent="0.35">
      <c r="A741" s="8">
        <v>738</v>
      </c>
      <c r="B741" s="6">
        <v>1791910.9255848855</v>
      </c>
    </row>
    <row r="742" spans="1:2" x14ac:dyDescent="0.35">
      <c r="A742" s="8">
        <v>739</v>
      </c>
      <c r="B742" s="6">
        <v>1793522.1955976267</v>
      </c>
    </row>
    <row r="743" spans="1:2" x14ac:dyDescent="0.35">
      <c r="A743" s="8">
        <v>740</v>
      </c>
      <c r="B743" s="6">
        <v>1794164.8787073595</v>
      </c>
    </row>
    <row r="744" spans="1:2" x14ac:dyDescent="0.35">
      <c r="A744" s="8">
        <v>741</v>
      </c>
      <c r="B744" s="6">
        <v>1797600.42267757</v>
      </c>
    </row>
    <row r="745" spans="1:2" x14ac:dyDescent="0.35">
      <c r="A745" s="8">
        <v>742</v>
      </c>
      <c r="B745" s="6">
        <v>1798387.6701725856</v>
      </c>
    </row>
    <row r="746" spans="1:2" x14ac:dyDescent="0.35">
      <c r="A746" s="8">
        <v>743</v>
      </c>
      <c r="B746" s="6">
        <v>1798756.1912449882</v>
      </c>
    </row>
    <row r="747" spans="1:2" x14ac:dyDescent="0.35">
      <c r="A747" s="8">
        <v>744</v>
      </c>
      <c r="B747" s="6">
        <v>1799083.9857168482</v>
      </c>
    </row>
    <row r="748" spans="1:2" x14ac:dyDescent="0.35">
      <c r="A748" s="8">
        <v>745</v>
      </c>
      <c r="B748" s="6">
        <v>1799232.4327045763</v>
      </c>
    </row>
    <row r="749" spans="1:2" x14ac:dyDescent="0.35">
      <c r="A749" s="8">
        <v>746</v>
      </c>
      <c r="B749" s="6">
        <v>1799279.4025040413</v>
      </c>
    </row>
    <row r="750" spans="1:2" x14ac:dyDescent="0.35">
      <c r="A750" s="8">
        <v>747</v>
      </c>
      <c r="B750" s="6">
        <v>1799338.2876496234</v>
      </c>
    </row>
    <row r="751" spans="1:2" x14ac:dyDescent="0.35">
      <c r="A751" s="8">
        <v>748</v>
      </c>
      <c r="B751" s="6">
        <v>1799449.6548852264</v>
      </c>
    </row>
    <row r="752" spans="1:2" x14ac:dyDescent="0.35">
      <c r="A752" s="8">
        <v>749</v>
      </c>
      <c r="B752" s="6">
        <v>1800155.3967787775</v>
      </c>
    </row>
    <row r="753" spans="1:2" x14ac:dyDescent="0.35">
      <c r="A753" s="8">
        <v>750</v>
      </c>
      <c r="B753" s="6">
        <v>1800481.3014934617</v>
      </c>
    </row>
    <row r="754" spans="1:2" x14ac:dyDescent="0.35">
      <c r="A754" s="8">
        <v>751</v>
      </c>
      <c r="B754" s="6">
        <v>1801353.3535744862</v>
      </c>
    </row>
    <row r="755" spans="1:2" x14ac:dyDescent="0.35">
      <c r="A755" s="8">
        <v>752</v>
      </c>
      <c r="B755" s="6">
        <v>1801437.0749781143</v>
      </c>
    </row>
    <row r="756" spans="1:2" x14ac:dyDescent="0.35">
      <c r="A756" s="8">
        <v>753</v>
      </c>
      <c r="B756" s="6">
        <v>1801501.1130357925</v>
      </c>
    </row>
    <row r="757" spans="1:2" x14ac:dyDescent="0.35">
      <c r="A757" s="8">
        <v>754</v>
      </c>
      <c r="B757" s="6">
        <v>1803700.1752866337</v>
      </c>
    </row>
    <row r="758" spans="1:2" x14ac:dyDescent="0.35">
      <c r="A758" s="8">
        <v>755</v>
      </c>
      <c r="B758" s="6">
        <v>1803994.0703440793</v>
      </c>
    </row>
    <row r="759" spans="1:2" x14ac:dyDescent="0.35">
      <c r="A759" s="8">
        <v>756</v>
      </c>
      <c r="B759" s="6">
        <v>1806971.8233940143</v>
      </c>
    </row>
    <row r="760" spans="1:2" x14ac:dyDescent="0.35">
      <c r="A760" s="8">
        <v>757</v>
      </c>
      <c r="B760" s="6">
        <v>1807158.600777057</v>
      </c>
    </row>
    <row r="761" spans="1:2" x14ac:dyDescent="0.35">
      <c r="A761" s="8">
        <v>758</v>
      </c>
      <c r="B761" s="6">
        <v>1807460.9322632221</v>
      </c>
    </row>
    <row r="762" spans="1:2" x14ac:dyDescent="0.35">
      <c r="A762" s="8">
        <v>759</v>
      </c>
      <c r="B762" s="6">
        <v>1807784.1995882164</v>
      </c>
    </row>
    <row r="763" spans="1:2" x14ac:dyDescent="0.35">
      <c r="A763" s="8">
        <v>760</v>
      </c>
      <c r="B763" s="6">
        <v>1807957.7332808841</v>
      </c>
    </row>
    <row r="764" spans="1:2" x14ac:dyDescent="0.35">
      <c r="A764" s="8">
        <v>761</v>
      </c>
      <c r="B764" s="6">
        <v>1809299.4594834088</v>
      </c>
    </row>
    <row r="765" spans="1:2" x14ac:dyDescent="0.35">
      <c r="A765" s="8">
        <v>762</v>
      </c>
      <c r="B765" s="6">
        <v>1810335.9498831364</v>
      </c>
    </row>
    <row r="766" spans="1:2" x14ac:dyDescent="0.35">
      <c r="A766" s="8">
        <v>763</v>
      </c>
      <c r="B766" s="6">
        <v>1810398.3586847684</v>
      </c>
    </row>
    <row r="767" spans="1:2" x14ac:dyDescent="0.35">
      <c r="A767" s="8">
        <v>764</v>
      </c>
      <c r="B767" s="6">
        <v>1810652.8503449666</v>
      </c>
    </row>
    <row r="768" spans="1:2" x14ac:dyDescent="0.35">
      <c r="A768" s="8">
        <v>765</v>
      </c>
      <c r="B768" s="6">
        <v>1812482.2935345611</v>
      </c>
    </row>
    <row r="769" spans="1:2" x14ac:dyDescent="0.35">
      <c r="A769" s="8">
        <v>766</v>
      </c>
      <c r="B769" s="6">
        <v>1813670.5775926064</v>
      </c>
    </row>
    <row r="770" spans="1:2" x14ac:dyDescent="0.35">
      <c r="A770" s="8">
        <v>767</v>
      </c>
      <c r="B770" s="6">
        <v>1814892.4600084703</v>
      </c>
    </row>
    <row r="771" spans="1:2" x14ac:dyDescent="0.35">
      <c r="A771" s="8">
        <v>768</v>
      </c>
      <c r="B771" s="6">
        <v>1817343.7889603032</v>
      </c>
    </row>
    <row r="772" spans="1:2" x14ac:dyDescent="0.35">
      <c r="A772" s="8">
        <v>769</v>
      </c>
      <c r="B772" s="6">
        <v>1817368.1872141121</v>
      </c>
    </row>
    <row r="773" spans="1:2" x14ac:dyDescent="0.35">
      <c r="A773" s="8">
        <v>770</v>
      </c>
      <c r="B773" s="6">
        <v>1817411.6605729752</v>
      </c>
    </row>
    <row r="774" spans="1:2" x14ac:dyDescent="0.35">
      <c r="A774" s="8">
        <v>771</v>
      </c>
      <c r="B774" s="6">
        <v>1819935.7671858501</v>
      </c>
    </row>
    <row r="775" spans="1:2" x14ac:dyDescent="0.35">
      <c r="A775" s="8">
        <v>772</v>
      </c>
      <c r="B775" s="6">
        <v>1820705.8679891056</v>
      </c>
    </row>
    <row r="776" spans="1:2" x14ac:dyDescent="0.35">
      <c r="A776" s="8">
        <v>773</v>
      </c>
      <c r="B776" s="6">
        <v>1821299.2971924818</v>
      </c>
    </row>
    <row r="777" spans="1:2" x14ac:dyDescent="0.35">
      <c r="A777" s="8">
        <v>774</v>
      </c>
      <c r="B777" s="6">
        <v>1821999.3653857724</v>
      </c>
    </row>
    <row r="778" spans="1:2" x14ac:dyDescent="0.35">
      <c r="A778" s="8">
        <v>775</v>
      </c>
      <c r="B778" s="6">
        <v>1823979.0962588999</v>
      </c>
    </row>
    <row r="779" spans="1:2" x14ac:dyDescent="0.35">
      <c r="A779" s="8">
        <v>776</v>
      </c>
      <c r="B779" s="6">
        <v>1824612.0747660254</v>
      </c>
    </row>
    <row r="780" spans="1:2" x14ac:dyDescent="0.35">
      <c r="A780" s="8">
        <v>777</v>
      </c>
      <c r="B780" s="6">
        <v>1825153.2710059248</v>
      </c>
    </row>
    <row r="781" spans="1:2" x14ac:dyDescent="0.35">
      <c r="A781" s="8">
        <v>778</v>
      </c>
      <c r="B781" s="6">
        <v>1825386.7897791616</v>
      </c>
    </row>
    <row r="782" spans="1:2" x14ac:dyDescent="0.35">
      <c r="A782" s="8">
        <v>779</v>
      </c>
      <c r="B782" s="6">
        <v>1826043.1507395189</v>
      </c>
    </row>
    <row r="783" spans="1:2" x14ac:dyDescent="0.35">
      <c r="A783" s="8">
        <v>780</v>
      </c>
      <c r="B783" s="6">
        <v>1826458.6392426537</v>
      </c>
    </row>
    <row r="784" spans="1:2" x14ac:dyDescent="0.35">
      <c r="A784" s="8">
        <v>781</v>
      </c>
      <c r="B784" s="6">
        <v>1827101.6433215023</v>
      </c>
    </row>
    <row r="785" spans="1:2" x14ac:dyDescent="0.35">
      <c r="A785" s="8">
        <v>782</v>
      </c>
      <c r="B785" s="6">
        <v>1827164.6713244312</v>
      </c>
    </row>
    <row r="786" spans="1:2" x14ac:dyDescent="0.35">
      <c r="A786" s="8">
        <v>783</v>
      </c>
      <c r="B786" s="6">
        <v>1828626.2263828176</v>
      </c>
    </row>
    <row r="787" spans="1:2" x14ac:dyDescent="0.35">
      <c r="A787" s="8">
        <v>784</v>
      </c>
      <c r="B787" s="6">
        <v>1828804.4042349875</v>
      </c>
    </row>
    <row r="788" spans="1:2" x14ac:dyDescent="0.35">
      <c r="A788" s="8">
        <v>785</v>
      </c>
      <c r="B788" s="6">
        <v>1829149.1886996999</v>
      </c>
    </row>
    <row r="789" spans="1:2" x14ac:dyDescent="0.35">
      <c r="A789" s="8">
        <v>786</v>
      </c>
      <c r="B789" s="6">
        <v>1830871.0052064422</v>
      </c>
    </row>
    <row r="790" spans="1:2" x14ac:dyDescent="0.35">
      <c r="A790" s="8">
        <v>787</v>
      </c>
      <c r="B790" s="6">
        <v>1831217.998010875</v>
      </c>
    </row>
    <row r="791" spans="1:2" x14ac:dyDescent="0.35">
      <c r="A791" s="8">
        <v>788</v>
      </c>
      <c r="B791" s="6">
        <v>1832079.144455153</v>
      </c>
    </row>
    <row r="792" spans="1:2" x14ac:dyDescent="0.35">
      <c r="A792" s="8">
        <v>789</v>
      </c>
      <c r="B792" s="6">
        <v>1832550.1756962296</v>
      </c>
    </row>
    <row r="793" spans="1:2" x14ac:dyDescent="0.35">
      <c r="A793" s="8">
        <v>790</v>
      </c>
      <c r="B793" s="6">
        <v>1834690.7152244016</v>
      </c>
    </row>
    <row r="794" spans="1:2" x14ac:dyDescent="0.35">
      <c r="A794" s="8">
        <v>791</v>
      </c>
      <c r="B794" s="6">
        <v>1836875.5821323628</v>
      </c>
    </row>
    <row r="795" spans="1:2" x14ac:dyDescent="0.35">
      <c r="A795" s="8">
        <v>792</v>
      </c>
      <c r="B795" s="6">
        <v>1838565.6690185838</v>
      </c>
    </row>
    <row r="796" spans="1:2" x14ac:dyDescent="0.35">
      <c r="A796" s="8">
        <v>793</v>
      </c>
      <c r="B796" s="6">
        <v>1839564.5034045395</v>
      </c>
    </row>
    <row r="797" spans="1:2" x14ac:dyDescent="0.35">
      <c r="A797" s="8">
        <v>794</v>
      </c>
      <c r="B797" s="6">
        <v>1839725.3175729634</v>
      </c>
    </row>
    <row r="798" spans="1:2" x14ac:dyDescent="0.35">
      <c r="A798" s="8">
        <v>795</v>
      </c>
      <c r="B798" s="6">
        <v>1840002.8096218163</v>
      </c>
    </row>
    <row r="799" spans="1:2" x14ac:dyDescent="0.35">
      <c r="A799" s="8">
        <v>796</v>
      </c>
      <c r="B799" s="6">
        <v>1840417.0357579209</v>
      </c>
    </row>
    <row r="800" spans="1:2" x14ac:dyDescent="0.35">
      <c r="A800" s="8">
        <v>797</v>
      </c>
      <c r="B800" s="6">
        <v>1843914.0578068241</v>
      </c>
    </row>
    <row r="801" spans="1:2" x14ac:dyDescent="0.35">
      <c r="A801" s="8">
        <v>798</v>
      </c>
      <c r="B801" s="6">
        <v>1844877.506629637</v>
      </c>
    </row>
    <row r="802" spans="1:2" x14ac:dyDescent="0.35">
      <c r="A802" s="8">
        <v>799</v>
      </c>
      <c r="B802" s="6">
        <v>1847330.9203581135</v>
      </c>
    </row>
    <row r="803" spans="1:2" x14ac:dyDescent="0.35">
      <c r="A803" s="8">
        <v>800</v>
      </c>
      <c r="B803" s="6">
        <v>1848996.0754367223</v>
      </c>
    </row>
    <row r="804" spans="1:2" x14ac:dyDescent="0.35">
      <c r="A804" s="8">
        <v>801</v>
      </c>
      <c r="B804" s="6">
        <v>1849517.3022037207</v>
      </c>
    </row>
    <row r="805" spans="1:2" x14ac:dyDescent="0.35">
      <c r="A805" s="8">
        <v>802</v>
      </c>
      <c r="B805" s="6">
        <v>1852757.3688258203</v>
      </c>
    </row>
    <row r="806" spans="1:2" x14ac:dyDescent="0.35">
      <c r="A806" s="8">
        <v>803</v>
      </c>
      <c r="B806" s="6">
        <v>1855827.554096339</v>
      </c>
    </row>
    <row r="807" spans="1:2" x14ac:dyDescent="0.35">
      <c r="A807" s="8">
        <v>804</v>
      </c>
      <c r="B807" s="6">
        <v>1857815.8734039958</v>
      </c>
    </row>
    <row r="808" spans="1:2" x14ac:dyDescent="0.35">
      <c r="A808" s="8">
        <v>805</v>
      </c>
      <c r="B808" s="6">
        <v>1857863.5822861888</v>
      </c>
    </row>
    <row r="809" spans="1:2" x14ac:dyDescent="0.35">
      <c r="A809" s="8">
        <v>806</v>
      </c>
      <c r="B809" s="6">
        <v>1857973.2189986121</v>
      </c>
    </row>
    <row r="810" spans="1:2" x14ac:dyDescent="0.35">
      <c r="A810" s="8">
        <v>807</v>
      </c>
      <c r="B810" s="6">
        <v>1859156.7687720419</v>
      </c>
    </row>
    <row r="811" spans="1:2" x14ac:dyDescent="0.35">
      <c r="A811" s="8">
        <v>808</v>
      </c>
      <c r="B811" s="6">
        <v>1860160.974166536</v>
      </c>
    </row>
    <row r="812" spans="1:2" x14ac:dyDescent="0.35">
      <c r="A812" s="8">
        <v>809</v>
      </c>
      <c r="B812" s="6">
        <v>1861225.0109753981</v>
      </c>
    </row>
    <row r="813" spans="1:2" x14ac:dyDescent="0.35">
      <c r="A813" s="8">
        <v>810</v>
      </c>
      <c r="B813" s="6">
        <v>1861978.0817987614</v>
      </c>
    </row>
    <row r="814" spans="1:2" x14ac:dyDescent="0.35">
      <c r="A814" s="8">
        <v>811</v>
      </c>
      <c r="B814" s="6">
        <v>1866668.4418408182</v>
      </c>
    </row>
    <row r="815" spans="1:2" x14ac:dyDescent="0.35">
      <c r="A815" s="8">
        <v>812</v>
      </c>
      <c r="B815" s="6">
        <v>1867066.3137338546</v>
      </c>
    </row>
    <row r="816" spans="1:2" x14ac:dyDescent="0.35">
      <c r="A816" s="8">
        <v>813</v>
      </c>
      <c r="B816" s="6">
        <v>1867284.3214592556</v>
      </c>
    </row>
    <row r="817" spans="1:2" x14ac:dyDescent="0.35">
      <c r="A817" s="8">
        <v>814</v>
      </c>
      <c r="B817" s="6">
        <v>1868528.9388942798</v>
      </c>
    </row>
    <row r="818" spans="1:2" x14ac:dyDescent="0.35">
      <c r="A818" s="8">
        <v>815</v>
      </c>
      <c r="B818" s="6">
        <v>1870284.646628252</v>
      </c>
    </row>
    <row r="819" spans="1:2" x14ac:dyDescent="0.35">
      <c r="A819" s="8">
        <v>816</v>
      </c>
      <c r="B819" s="6">
        <v>1873817.7781418329</v>
      </c>
    </row>
    <row r="820" spans="1:2" x14ac:dyDescent="0.35">
      <c r="A820" s="8">
        <v>817</v>
      </c>
      <c r="B820" s="6">
        <v>1874073.6176821501</v>
      </c>
    </row>
    <row r="821" spans="1:2" x14ac:dyDescent="0.35">
      <c r="A821" s="8">
        <v>818</v>
      </c>
      <c r="B821" s="6">
        <v>1877804.2175052874</v>
      </c>
    </row>
    <row r="822" spans="1:2" x14ac:dyDescent="0.35">
      <c r="A822" s="8">
        <v>819</v>
      </c>
      <c r="B822" s="6">
        <v>1879221.1867368806</v>
      </c>
    </row>
    <row r="823" spans="1:2" x14ac:dyDescent="0.35">
      <c r="A823" s="8">
        <v>820</v>
      </c>
      <c r="B823" s="6">
        <v>1879230.9511142804</v>
      </c>
    </row>
    <row r="824" spans="1:2" x14ac:dyDescent="0.35">
      <c r="A824" s="8">
        <v>821</v>
      </c>
      <c r="B824" s="6">
        <v>1879846.9017839264</v>
      </c>
    </row>
    <row r="825" spans="1:2" x14ac:dyDescent="0.35">
      <c r="A825" s="8">
        <v>822</v>
      </c>
      <c r="B825" s="6">
        <v>1883067.5824521321</v>
      </c>
    </row>
    <row r="826" spans="1:2" x14ac:dyDescent="0.35">
      <c r="A826" s="8">
        <v>823</v>
      </c>
      <c r="B826" s="6">
        <v>1885588.5863603759</v>
      </c>
    </row>
    <row r="827" spans="1:2" x14ac:dyDescent="0.35">
      <c r="A827" s="8">
        <v>824</v>
      </c>
      <c r="B827" s="6">
        <v>1886675.9388347596</v>
      </c>
    </row>
    <row r="828" spans="1:2" x14ac:dyDescent="0.35">
      <c r="A828" s="8">
        <v>825</v>
      </c>
      <c r="B828" s="6">
        <v>1887163.2179596093</v>
      </c>
    </row>
    <row r="829" spans="1:2" x14ac:dyDescent="0.35">
      <c r="A829" s="8">
        <v>826</v>
      </c>
      <c r="B829" s="6">
        <v>1888709.3783161659</v>
      </c>
    </row>
    <row r="830" spans="1:2" x14ac:dyDescent="0.35">
      <c r="A830" s="8">
        <v>827</v>
      </c>
      <c r="B830" s="6">
        <v>1889478.1996516557</v>
      </c>
    </row>
    <row r="831" spans="1:2" x14ac:dyDescent="0.35">
      <c r="A831" s="8">
        <v>828</v>
      </c>
      <c r="B831" s="6">
        <v>1889652.8102553959</v>
      </c>
    </row>
    <row r="832" spans="1:2" x14ac:dyDescent="0.35">
      <c r="A832" s="8">
        <v>829</v>
      </c>
      <c r="B832" s="6">
        <v>1890044.5724224909</v>
      </c>
    </row>
    <row r="833" spans="1:2" x14ac:dyDescent="0.35">
      <c r="A833" s="8">
        <v>830</v>
      </c>
      <c r="B833" s="6">
        <v>1890979.1928862683</v>
      </c>
    </row>
    <row r="834" spans="1:2" x14ac:dyDescent="0.35">
      <c r="A834" s="8">
        <v>831</v>
      </c>
      <c r="B834" s="6">
        <v>1891632.2046583861</v>
      </c>
    </row>
    <row r="835" spans="1:2" x14ac:dyDescent="0.35">
      <c r="A835" s="8">
        <v>832</v>
      </c>
      <c r="B835" s="6">
        <v>1892010.9683998339</v>
      </c>
    </row>
    <row r="836" spans="1:2" x14ac:dyDescent="0.35">
      <c r="A836" s="8">
        <v>833</v>
      </c>
      <c r="B836" s="6">
        <v>1892263.6101113963</v>
      </c>
    </row>
    <row r="837" spans="1:2" x14ac:dyDescent="0.35">
      <c r="A837" s="8">
        <v>834</v>
      </c>
      <c r="B837" s="6">
        <v>1894091.3120131651</v>
      </c>
    </row>
    <row r="838" spans="1:2" x14ac:dyDescent="0.35">
      <c r="A838" s="8">
        <v>835</v>
      </c>
      <c r="B838" s="6">
        <v>1894653.6835998464</v>
      </c>
    </row>
    <row r="839" spans="1:2" x14ac:dyDescent="0.35">
      <c r="A839" s="8">
        <v>836</v>
      </c>
      <c r="B839" s="6">
        <v>1895326.0554334193</v>
      </c>
    </row>
    <row r="840" spans="1:2" x14ac:dyDescent="0.35">
      <c r="A840" s="8">
        <v>837</v>
      </c>
      <c r="B840" s="6">
        <v>1900213.7483161227</v>
      </c>
    </row>
    <row r="841" spans="1:2" x14ac:dyDescent="0.35">
      <c r="A841" s="8">
        <v>838</v>
      </c>
      <c r="B841" s="6">
        <v>1900371.4302706032</v>
      </c>
    </row>
    <row r="842" spans="1:2" x14ac:dyDescent="0.35">
      <c r="A842" s="8">
        <v>839</v>
      </c>
      <c r="B842" s="6">
        <v>1900571.50850797</v>
      </c>
    </row>
    <row r="843" spans="1:2" x14ac:dyDescent="0.35">
      <c r="A843" s="8">
        <v>840</v>
      </c>
      <c r="B843" s="6">
        <v>1901648.633940856</v>
      </c>
    </row>
    <row r="844" spans="1:2" x14ac:dyDescent="0.35">
      <c r="A844" s="8">
        <v>841</v>
      </c>
      <c r="B844" s="6">
        <v>1901717.4177630302</v>
      </c>
    </row>
    <row r="845" spans="1:2" x14ac:dyDescent="0.35">
      <c r="A845" s="8">
        <v>842</v>
      </c>
      <c r="B845" s="6">
        <v>1903953.2105098024</v>
      </c>
    </row>
    <row r="846" spans="1:2" x14ac:dyDescent="0.35">
      <c r="A846" s="8">
        <v>843</v>
      </c>
      <c r="B846" s="6">
        <v>1904667.4940221831</v>
      </c>
    </row>
    <row r="847" spans="1:2" x14ac:dyDescent="0.35">
      <c r="A847" s="8">
        <v>844</v>
      </c>
      <c r="B847" s="6">
        <v>1905167.9063459598</v>
      </c>
    </row>
    <row r="848" spans="1:2" x14ac:dyDescent="0.35">
      <c r="A848" s="8">
        <v>845</v>
      </c>
      <c r="B848" s="6">
        <v>1905951.3258113456</v>
      </c>
    </row>
    <row r="849" spans="1:2" x14ac:dyDescent="0.35">
      <c r="A849" s="8">
        <v>846</v>
      </c>
      <c r="B849" s="6">
        <v>1906794.1688097422</v>
      </c>
    </row>
    <row r="850" spans="1:2" x14ac:dyDescent="0.35">
      <c r="A850" s="8">
        <v>847</v>
      </c>
      <c r="B850" s="6">
        <v>1907131.4727478009</v>
      </c>
    </row>
    <row r="851" spans="1:2" x14ac:dyDescent="0.35">
      <c r="A851" s="8">
        <v>848</v>
      </c>
      <c r="B851" s="6">
        <v>1910098.5388335758</v>
      </c>
    </row>
    <row r="852" spans="1:2" x14ac:dyDescent="0.35">
      <c r="A852" s="8">
        <v>849</v>
      </c>
      <c r="B852" s="6">
        <v>1910259.1801841529</v>
      </c>
    </row>
    <row r="853" spans="1:2" x14ac:dyDescent="0.35">
      <c r="A853" s="8">
        <v>850</v>
      </c>
      <c r="B853" s="6">
        <v>1911026.7668407124</v>
      </c>
    </row>
    <row r="854" spans="1:2" x14ac:dyDescent="0.35">
      <c r="A854" s="8">
        <v>851</v>
      </c>
      <c r="B854" s="6">
        <v>1911250.8335470876</v>
      </c>
    </row>
    <row r="855" spans="1:2" x14ac:dyDescent="0.35">
      <c r="A855" s="8">
        <v>852</v>
      </c>
      <c r="B855" s="6">
        <v>1911255.2754608907</v>
      </c>
    </row>
    <row r="856" spans="1:2" x14ac:dyDescent="0.35">
      <c r="A856" s="8">
        <v>853</v>
      </c>
      <c r="B856" s="6">
        <v>1916390.137666872</v>
      </c>
    </row>
    <row r="857" spans="1:2" x14ac:dyDescent="0.35">
      <c r="A857" s="8">
        <v>854</v>
      </c>
      <c r="B857" s="6">
        <v>1918477.7318729099</v>
      </c>
    </row>
    <row r="858" spans="1:2" x14ac:dyDescent="0.35">
      <c r="A858" s="8">
        <v>855</v>
      </c>
      <c r="B858" s="6">
        <v>1919565.7811648785</v>
      </c>
    </row>
    <row r="859" spans="1:2" x14ac:dyDescent="0.35">
      <c r="A859" s="8">
        <v>856</v>
      </c>
      <c r="B859" s="6">
        <v>1920880.1735774158</v>
      </c>
    </row>
    <row r="860" spans="1:2" x14ac:dyDescent="0.35">
      <c r="A860" s="8">
        <v>857</v>
      </c>
      <c r="B860" s="6">
        <v>1923379.4094656736</v>
      </c>
    </row>
    <row r="861" spans="1:2" x14ac:dyDescent="0.35">
      <c r="A861" s="8">
        <v>858</v>
      </c>
      <c r="B861" s="6">
        <v>1923792.7100556735</v>
      </c>
    </row>
    <row r="862" spans="1:2" x14ac:dyDescent="0.35">
      <c r="A862" s="8">
        <v>859</v>
      </c>
      <c r="B862" s="6">
        <v>1925229.3735127822</v>
      </c>
    </row>
    <row r="863" spans="1:2" x14ac:dyDescent="0.35">
      <c r="A863" s="8">
        <v>860</v>
      </c>
      <c r="B863" s="6">
        <v>1926158.8578823893</v>
      </c>
    </row>
    <row r="864" spans="1:2" x14ac:dyDescent="0.35">
      <c r="A864" s="8">
        <v>861</v>
      </c>
      <c r="B864" s="6">
        <v>1928762.9326904723</v>
      </c>
    </row>
    <row r="865" spans="1:2" x14ac:dyDescent="0.35">
      <c r="A865" s="8">
        <v>862</v>
      </c>
      <c r="B865" s="6">
        <v>1928933.5622313074</v>
      </c>
    </row>
    <row r="866" spans="1:2" x14ac:dyDescent="0.35">
      <c r="A866" s="8">
        <v>863</v>
      </c>
      <c r="B866" s="6">
        <v>1931194.9717670314</v>
      </c>
    </row>
    <row r="867" spans="1:2" x14ac:dyDescent="0.35">
      <c r="A867" s="8">
        <v>864</v>
      </c>
      <c r="B867" s="6">
        <v>1931371.3353173989</v>
      </c>
    </row>
    <row r="868" spans="1:2" x14ac:dyDescent="0.35">
      <c r="A868" s="8">
        <v>865</v>
      </c>
      <c r="B868" s="6">
        <v>1931853.0209671408</v>
      </c>
    </row>
    <row r="869" spans="1:2" x14ac:dyDescent="0.35">
      <c r="A869" s="8">
        <v>866</v>
      </c>
      <c r="B869" s="6">
        <v>1933338.1524978038</v>
      </c>
    </row>
    <row r="870" spans="1:2" x14ac:dyDescent="0.35">
      <c r="A870" s="8">
        <v>867</v>
      </c>
      <c r="B870" s="6">
        <v>1934124.3165194725</v>
      </c>
    </row>
    <row r="871" spans="1:2" x14ac:dyDescent="0.35">
      <c r="A871" s="8">
        <v>868</v>
      </c>
      <c r="B871" s="6">
        <v>1936319.2995420883</v>
      </c>
    </row>
    <row r="872" spans="1:2" x14ac:dyDescent="0.35">
      <c r="A872" s="8">
        <v>869</v>
      </c>
      <c r="B872" s="6">
        <v>1936390.8033624578</v>
      </c>
    </row>
    <row r="873" spans="1:2" x14ac:dyDescent="0.35">
      <c r="A873" s="8">
        <v>870</v>
      </c>
      <c r="B873" s="6">
        <v>1940015.6495658131</v>
      </c>
    </row>
    <row r="874" spans="1:2" x14ac:dyDescent="0.35">
      <c r="A874" s="8">
        <v>871</v>
      </c>
      <c r="B874" s="6">
        <v>1940911.5552991626</v>
      </c>
    </row>
    <row r="875" spans="1:2" x14ac:dyDescent="0.35">
      <c r="A875" s="8">
        <v>872</v>
      </c>
      <c r="B875" s="6">
        <v>1941252.9896512339</v>
      </c>
    </row>
    <row r="876" spans="1:2" x14ac:dyDescent="0.35">
      <c r="A876" s="8">
        <v>873</v>
      </c>
      <c r="B876" s="6">
        <v>1941384.3903358956</v>
      </c>
    </row>
    <row r="877" spans="1:2" x14ac:dyDescent="0.35">
      <c r="A877" s="8">
        <v>874</v>
      </c>
      <c r="B877" s="6">
        <v>1944178.1304292753</v>
      </c>
    </row>
    <row r="878" spans="1:2" x14ac:dyDescent="0.35">
      <c r="A878" s="8">
        <v>875</v>
      </c>
      <c r="B878" s="6">
        <v>1948233.4286759715</v>
      </c>
    </row>
    <row r="879" spans="1:2" x14ac:dyDescent="0.35">
      <c r="A879" s="8">
        <v>876</v>
      </c>
      <c r="B879" s="6">
        <v>1950408.1871500593</v>
      </c>
    </row>
    <row r="880" spans="1:2" x14ac:dyDescent="0.35">
      <c r="A880" s="8">
        <v>877</v>
      </c>
      <c r="B880" s="6">
        <v>1950989.1864657633</v>
      </c>
    </row>
    <row r="881" spans="1:2" x14ac:dyDescent="0.35">
      <c r="A881" s="8">
        <v>878</v>
      </c>
      <c r="B881" s="6">
        <v>1952001.7943739728</v>
      </c>
    </row>
    <row r="882" spans="1:2" x14ac:dyDescent="0.35">
      <c r="A882" s="8">
        <v>879</v>
      </c>
      <c r="B882" s="6">
        <v>1952457.0708366372</v>
      </c>
    </row>
    <row r="883" spans="1:2" x14ac:dyDescent="0.35">
      <c r="A883" s="8">
        <v>880</v>
      </c>
      <c r="B883" s="6">
        <v>1953563.9029958006</v>
      </c>
    </row>
    <row r="884" spans="1:2" x14ac:dyDescent="0.35">
      <c r="A884" s="8">
        <v>881</v>
      </c>
      <c r="B884" s="6">
        <v>1954328.8732750204</v>
      </c>
    </row>
    <row r="885" spans="1:2" x14ac:dyDescent="0.35">
      <c r="A885" s="8">
        <v>882</v>
      </c>
      <c r="B885" s="6">
        <v>1955133.7180634944</v>
      </c>
    </row>
    <row r="886" spans="1:2" x14ac:dyDescent="0.35">
      <c r="A886" s="8">
        <v>883</v>
      </c>
      <c r="B886" s="6">
        <v>1958420.393351407</v>
      </c>
    </row>
    <row r="887" spans="1:2" x14ac:dyDescent="0.35">
      <c r="A887" s="8">
        <v>884</v>
      </c>
      <c r="B887" s="6">
        <v>1958713.2201870249</v>
      </c>
    </row>
    <row r="888" spans="1:2" x14ac:dyDescent="0.35">
      <c r="A888" s="8">
        <v>885</v>
      </c>
      <c r="B888" s="6">
        <v>1960562.3062430129</v>
      </c>
    </row>
    <row r="889" spans="1:2" x14ac:dyDescent="0.35">
      <c r="A889" s="8">
        <v>886</v>
      </c>
      <c r="B889" s="6">
        <v>1961124.1542817522</v>
      </c>
    </row>
    <row r="890" spans="1:2" x14ac:dyDescent="0.35">
      <c r="A890" s="8">
        <v>887</v>
      </c>
      <c r="B890" s="6">
        <v>1962393.1474676984</v>
      </c>
    </row>
    <row r="891" spans="1:2" x14ac:dyDescent="0.35">
      <c r="A891" s="8">
        <v>888</v>
      </c>
      <c r="B891" s="6">
        <v>1964856.2819454484</v>
      </c>
    </row>
    <row r="892" spans="1:2" x14ac:dyDescent="0.35">
      <c r="A892" s="8">
        <v>889</v>
      </c>
      <c r="B892" s="6">
        <v>1966843.803584473</v>
      </c>
    </row>
    <row r="893" spans="1:2" x14ac:dyDescent="0.35">
      <c r="A893" s="8">
        <v>890</v>
      </c>
      <c r="B893" s="6">
        <v>1967598.9773101464</v>
      </c>
    </row>
    <row r="894" spans="1:2" x14ac:dyDescent="0.35">
      <c r="A894" s="8">
        <v>891</v>
      </c>
      <c r="B894" s="6">
        <v>1967933.3647486898</v>
      </c>
    </row>
    <row r="895" spans="1:2" x14ac:dyDescent="0.35">
      <c r="A895" s="8">
        <v>892</v>
      </c>
      <c r="B895" s="6">
        <v>1969172.8833358579</v>
      </c>
    </row>
    <row r="896" spans="1:2" x14ac:dyDescent="0.35">
      <c r="A896" s="8">
        <v>893</v>
      </c>
      <c r="B896" s="6">
        <v>1969923.4512448753</v>
      </c>
    </row>
    <row r="897" spans="1:2" x14ac:dyDescent="0.35">
      <c r="A897" s="8">
        <v>894</v>
      </c>
      <c r="B897" s="6">
        <v>1970176.1577995939</v>
      </c>
    </row>
    <row r="898" spans="1:2" x14ac:dyDescent="0.35">
      <c r="A898" s="8">
        <v>895</v>
      </c>
      <c r="B898" s="6">
        <v>1970317.6847914434</v>
      </c>
    </row>
    <row r="899" spans="1:2" x14ac:dyDescent="0.35">
      <c r="A899" s="8">
        <v>896</v>
      </c>
      <c r="B899" s="6">
        <v>1971335.170347549</v>
      </c>
    </row>
    <row r="900" spans="1:2" x14ac:dyDescent="0.35">
      <c r="A900" s="8">
        <v>897</v>
      </c>
      <c r="B900" s="6">
        <v>1972767.1089638118</v>
      </c>
    </row>
    <row r="901" spans="1:2" x14ac:dyDescent="0.35">
      <c r="A901" s="8">
        <v>898</v>
      </c>
      <c r="B901" s="6">
        <v>1973367.6015617196</v>
      </c>
    </row>
    <row r="902" spans="1:2" x14ac:dyDescent="0.35">
      <c r="A902" s="8">
        <v>899</v>
      </c>
      <c r="B902" s="6">
        <v>1973590.0924066198</v>
      </c>
    </row>
    <row r="903" spans="1:2" x14ac:dyDescent="0.35">
      <c r="A903" s="8">
        <v>900</v>
      </c>
      <c r="B903" s="6">
        <v>1974292.3901577953</v>
      </c>
    </row>
    <row r="904" spans="1:2" x14ac:dyDescent="0.35">
      <c r="A904" s="8">
        <v>901</v>
      </c>
      <c r="B904" s="6">
        <v>1974738.3347960357</v>
      </c>
    </row>
    <row r="905" spans="1:2" x14ac:dyDescent="0.35">
      <c r="A905" s="8">
        <v>902</v>
      </c>
      <c r="B905" s="6">
        <v>1974909.1134444955</v>
      </c>
    </row>
    <row r="906" spans="1:2" x14ac:dyDescent="0.35">
      <c r="A906" s="8">
        <v>903</v>
      </c>
      <c r="B906" s="6">
        <v>1976449.1893593408</v>
      </c>
    </row>
    <row r="907" spans="1:2" x14ac:dyDescent="0.35">
      <c r="A907" s="8">
        <v>904</v>
      </c>
      <c r="B907" s="6">
        <v>1976942.2781224875</v>
      </c>
    </row>
    <row r="908" spans="1:2" x14ac:dyDescent="0.35">
      <c r="A908" s="8">
        <v>905</v>
      </c>
      <c r="B908" s="6">
        <v>1985402.0715210077</v>
      </c>
    </row>
    <row r="909" spans="1:2" x14ac:dyDescent="0.35">
      <c r="A909" s="8">
        <v>906</v>
      </c>
      <c r="B909" s="6">
        <v>1985430.9519912223</v>
      </c>
    </row>
    <row r="910" spans="1:2" x14ac:dyDescent="0.35">
      <c r="A910" s="8">
        <v>907</v>
      </c>
      <c r="B910" s="6">
        <v>1986576.9495345186</v>
      </c>
    </row>
    <row r="911" spans="1:2" x14ac:dyDescent="0.35">
      <c r="A911" s="8">
        <v>908</v>
      </c>
      <c r="B911" s="6">
        <v>1988938.6912558803</v>
      </c>
    </row>
    <row r="912" spans="1:2" x14ac:dyDescent="0.35">
      <c r="A912" s="8">
        <v>909</v>
      </c>
      <c r="B912" s="6">
        <v>1991633.9661051813</v>
      </c>
    </row>
    <row r="913" spans="1:2" x14ac:dyDescent="0.35">
      <c r="A913" s="8">
        <v>910</v>
      </c>
      <c r="B913" s="6">
        <v>1992340.4541318964</v>
      </c>
    </row>
    <row r="914" spans="1:2" x14ac:dyDescent="0.35">
      <c r="A914" s="8">
        <v>911</v>
      </c>
      <c r="B914" s="6">
        <v>1992825.0519284934</v>
      </c>
    </row>
    <row r="915" spans="1:2" x14ac:dyDescent="0.35">
      <c r="A915" s="8">
        <v>912</v>
      </c>
      <c r="B915" s="6">
        <v>1993410.1569742085</v>
      </c>
    </row>
    <row r="916" spans="1:2" x14ac:dyDescent="0.35">
      <c r="A916" s="8">
        <v>913</v>
      </c>
      <c r="B916" s="6">
        <v>1993477.0045882957</v>
      </c>
    </row>
    <row r="917" spans="1:2" x14ac:dyDescent="0.35">
      <c r="A917" s="8">
        <v>914</v>
      </c>
      <c r="B917" s="6">
        <v>1995407.1610847476</v>
      </c>
    </row>
    <row r="918" spans="1:2" x14ac:dyDescent="0.35">
      <c r="A918" s="8">
        <v>915</v>
      </c>
      <c r="B918" s="6">
        <v>1995623.6645874772</v>
      </c>
    </row>
    <row r="919" spans="1:2" x14ac:dyDescent="0.35">
      <c r="A919" s="8">
        <v>916</v>
      </c>
      <c r="B919" s="6">
        <v>1997075.5300748635</v>
      </c>
    </row>
    <row r="920" spans="1:2" x14ac:dyDescent="0.35">
      <c r="A920" s="8">
        <v>917</v>
      </c>
      <c r="B920" s="6">
        <v>1997161.0668436852</v>
      </c>
    </row>
    <row r="921" spans="1:2" x14ac:dyDescent="0.35">
      <c r="A921" s="8">
        <v>918</v>
      </c>
      <c r="B921" s="6">
        <v>1999538.297094028</v>
      </c>
    </row>
    <row r="922" spans="1:2" x14ac:dyDescent="0.35">
      <c r="A922" s="8">
        <v>919</v>
      </c>
      <c r="B922" s="6">
        <v>2000574.9072641551</v>
      </c>
    </row>
    <row r="923" spans="1:2" x14ac:dyDescent="0.35">
      <c r="A923" s="8">
        <v>920</v>
      </c>
      <c r="B923" s="6">
        <v>2001216.8733084388</v>
      </c>
    </row>
    <row r="924" spans="1:2" x14ac:dyDescent="0.35">
      <c r="A924" s="8">
        <v>921</v>
      </c>
      <c r="B924" s="6">
        <v>2002080.8772875897</v>
      </c>
    </row>
    <row r="925" spans="1:2" x14ac:dyDescent="0.35">
      <c r="A925" s="8">
        <v>922</v>
      </c>
      <c r="B925" s="6">
        <v>2008297.8045764444</v>
      </c>
    </row>
    <row r="926" spans="1:2" x14ac:dyDescent="0.35">
      <c r="A926" s="8">
        <v>923</v>
      </c>
      <c r="B926" s="6">
        <v>2012533.2583459914</v>
      </c>
    </row>
    <row r="927" spans="1:2" x14ac:dyDescent="0.35">
      <c r="A927" s="8">
        <v>924</v>
      </c>
      <c r="B927" s="6">
        <v>2015454.6536670015</v>
      </c>
    </row>
    <row r="928" spans="1:2" x14ac:dyDescent="0.35">
      <c r="A928" s="8">
        <v>925</v>
      </c>
      <c r="B928" s="6">
        <v>2021677.5464963475</v>
      </c>
    </row>
    <row r="929" spans="1:2" x14ac:dyDescent="0.35">
      <c r="A929" s="8">
        <v>926</v>
      </c>
      <c r="B929" s="6">
        <v>2026946.1958916294</v>
      </c>
    </row>
    <row r="930" spans="1:2" x14ac:dyDescent="0.35">
      <c r="A930" s="8">
        <v>927</v>
      </c>
      <c r="B930" s="6">
        <v>2027363.0571837437</v>
      </c>
    </row>
    <row r="931" spans="1:2" x14ac:dyDescent="0.35">
      <c r="A931" s="8">
        <v>928</v>
      </c>
      <c r="B931" s="6">
        <v>2032164.8951311728</v>
      </c>
    </row>
    <row r="932" spans="1:2" x14ac:dyDescent="0.35">
      <c r="A932" s="8">
        <v>929</v>
      </c>
      <c r="B932" s="6">
        <v>2036618.8077315544</v>
      </c>
    </row>
    <row r="933" spans="1:2" x14ac:dyDescent="0.35">
      <c r="A933" s="8">
        <v>930</v>
      </c>
      <c r="B933" s="6">
        <v>2039020.3198049357</v>
      </c>
    </row>
    <row r="934" spans="1:2" x14ac:dyDescent="0.35">
      <c r="A934" s="8">
        <v>931</v>
      </c>
      <c r="B934" s="6">
        <v>2041295.5386267696</v>
      </c>
    </row>
    <row r="935" spans="1:2" x14ac:dyDescent="0.35">
      <c r="A935" s="8">
        <v>932</v>
      </c>
      <c r="B935" s="6">
        <v>2042743.1225292361</v>
      </c>
    </row>
    <row r="936" spans="1:2" x14ac:dyDescent="0.35">
      <c r="A936" s="8">
        <v>933</v>
      </c>
      <c r="B936" s="6">
        <v>2044355.8996144803</v>
      </c>
    </row>
    <row r="937" spans="1:2" x14ac:dyDescent="0.35">
      <c r="A937" s="8">
        <v>934</v>
      </c>
      <c r="B937" s="6">
        <v>2044861.7259154648</v>
      </c>
    </row>
    <row r="938" spans="1:2" x14ac:dyDescent="0.35">
      <c r="A938" s="8">
        <v>935</v>
      </c>
      <c r="B938" s="6">
        <v>2047177.3134951137</v>
      </c>
    </row>
    <row r="939" spans="1:2" x14ac:dyDescent="0.35">
      <c r="A939" s="8">
        <v>936</v>
      </c>
      <c r="B939" s="6">
        <v>2048763.4801855814</v>
      </c>
    </row>
    <row r="940" spans="1:2" x14ac:dyDescent="0.35">
      <c r="A940" s="8">
        <v>937</v>
      </c>
      <c r="B940" s="6">
        <v>2056078.299357505</v>
      </c>
    </row>
    <row r="941" spans="1:2" x14ac:dyDescent="0.35">
      <c r="A941" s="8">
        <v>938</v>
      </c>
      <c r="B941" s="6">
        <v>2058863.0714445147</v>
      </c>
    </row>
    <row r="942" spans="1:2" x14ac:dyDescent="0.35">
      <c r="A942" s="8">
        <v>939</v>
      </c>
      <c r="B942" s="6">
        <v>2063560.0409124903</v>
      </c>
    </row>
    <row r="943" spans="1:2" x14ac:dyDescent="0.35">
      <c r="A943" s="8">
        <v>940</v>
      </c>
      <c r="B943" s="6">
        <v>2063739.7990292339</v>
      </c>
    </row>
    <row r="944" spans="1:2" x14ac:dyDescent="0.35">
      <c r="A944" s="8">
        <v>941</v>
      </c>
      <c r="B944" s="6">
        <v>2063890.2592677546</v>
      </c>
    </row>
    <row r="945" spans="1:2" x14ac:dyDescent="0.35">
      <c r="A945" s="8">
        <v>942</v>
      </c>
      <c r="B945" s="6">
        <v>2063952.7883769134</v>
      </c>
    </row>
    <row r="946" spans="1:2" x14ac:dyDescent="0.35">
      <c r="A946" s="8">
        <v>943</v>
      </c>
      <c r="B946" s="6">
        <v>2064038.2797642262</v>
      </c>
    </row>
    <row r="947" spans="1:2" x14ac:dyDescent="0.35">
      <c r="A947" s="8">
        <v>944</v>
      </c>
      <c r="B947" s="6">
        <v>2064116.061169676</v>
      </c>
    </row>
    <row r="948" spans="1:2" x14ac:dyDescent="0.35">
      <c r="A948" s="8">
        <v>945</v>
      </c>
      <c r="B948" s="6">
        <v>2065513.261734535</v>
      </c>
    </row>
    <row r="949" spans="1:2" x14ac:dyDescent="0.35">
      <c r="A949" s="8">
        <v>946</v>
      </c>
      <c r="B949" s="6">
        <v>2069629.4348931934</v>
      </c>
    </row>
    <row r="950" spans="1:2" x14ac:dyDescent="0.35">
      <c r="A950" s="8">
        <v>947</v>
      </c>
      <c r="B950" s="6">
        <v>2069863.7768174515</v>
      </c>
    </row>
    <row r="951" spans="1:2" x14ac:dyDescent="0.35">
      <c r="A951" s="8">
        <v>948</v>
      </c>
      <c r="B951" s="6">
        <v>2072986.6200717371</v>
      </c>
    </row>
    <row r="952" spans="1:2" x14ac:dyDescent="0.35">
      <c r="A952" s="8">
        <v>949</v>
      </c>
      <c r="B952" s="6">
        <v>2075250.2349137352</v>
      </c>
    </row>
    <row r="953" spans="1:2" x14ac:dyDescent="0.35">
      <c r="A953" s="8">
        <v>950</v>
      </c>
      <c r="B953" s="6">
        <v>2075940.6961244617</v>
      </c>
    </row>
    <row r="954" spans="1:2" x14ac:dyDescent="0.35">
      <c r="A954" s="8">
        <v>951</v>
      </c>
      <c r="B954" s="6">
        <v>2077030.629177297</v>
      </c>
    </row>
    <row r="955" spans="1:2" x14ac:dyDescent="0.35">
      <c r="A955" s="8">
        <v>952</v>
      </c>
      <c r="B955" s="6">
        <v>2077160.3125897634</v>
      </c>
    </row>
    <row r="956" spans="1:2" x14ac:dyDescent="0.35">
      <c r="A956" s="8">
        <v>953</v>
      </c>
      <c r="B956" s="6">
        <v>2081078.3002896032</v>
      </c>
    </row>
    <row r="957" spans="1:2" x14ac:dyDescent="0.35">
      <c r="A957" s="8">
        <v>954</v>
      </c>
      <c r="B957" s="6">
        <v>2082443.7665548006</v>
      </c>
    </row>
    <row r="958" spans="1:2" x14ac:dyDescent="0.35">
      <c r="A958" s="8">
        <v>955</v>
      </c>
      <c r="B958" s="6">
        <v>2086763.7158111613</v>
      </c>
    </row>
    <row r="959" spans="1:2" x14ac:dyDescent="0.35">
      <c r="A959" s="8">
        <v>956</v>
      </c>
      <c r="B959" s="6">
        <v>2089193.6710732041</v>
      </c>
    </row>
    <row r="960" spans="1:2" x14ac:dyDescent="0.35">
      <c r="A960" s="8">
        <v>957</v>
      </c>
      <c r="B960" s="6">
        <v>2091361.591990252</v>
      </c>
    </row>
    <row r="961" spans="1:2" x14ac:dyDescent="0.35">
      <c r="A961" s="8">
        <v>958</v>
      </c>
      <c r="B961" s="6">
        <v>2096564.9049163179</v>
      </c>
    </row>
    <row r="962" spans="1:2" x14ac:dyDescent="0.35">
      <c r="A962" s="8">
        <v>959</v>
      </c>
      <c r="B962" s="6">
        <v>2097338.6474312348</v>
      </c>
    </row>
    <row r="963" spans="1:2" x14ac:dyDescent="0.35">
      <c r="A963" s="8">
        <v>960</v>
      </c>
      <c r="B963" s="6">
        <v>2102295.0160617973</v>
      </c>
    </row>
    <row r="964" spans="1:2" x14ac:dyDescent="0.35">
      <c r="A964" s="8">
        <v>961</v>
      </c>
      <c r="B964" s="6">
        <v>2103207.0484495722</v>
      </c>
    </row>
    <row r="965" spans="1:2" x14ac:dyDescent="0.35">
      <c r="A965" s="8">
        <v>962</v>
      </c>
      <c r="B965" s="6">
        <v>2108122.1480858335</v>
      </c>
    </row>
    <row r="966" spans="1:2" x14ac:dyDescent="0.35">
      <c r="A966" s="8">
        <v>963</v>
      </c>
      <c r="B966" s="6">
        <v>2109890.4943339485</v>
      </c>
    </row>
    <row r="967" spans="1:2" x14ac:dyDescent="0.35">
      <c r="A967" s="8">
        <v>964</v>
      </c>
      <c r="B967" s="6">
        <v>2111628.8667070484</v>
      </c>
    </row>
    <row r="968" spans="1:2" x14ac:dyDescent="0.35">
      <c r="A968" s="8">
        <v>965</v>
      </c>
      <c r="B968" s="6">
        <v>2112936.8801874314</v>
      </c>
    </row>
    <row r="969" spans="1:2" x14ac:dyDescent="0.35">
      <c r="A969" s="8">
        <v>966</v>
      </c>
      <c r="B969" s="6">
        <v>2117904.4525069566</v>
      </c>
    </row>
    <row r="970" spans="1:2" x14ac:dyDescent="0.35">
      <c r="A970" s="8">
        <v>967</v>
      </c>
      <c r="B970" s="6">
        <v>2118160.9819021062</v>
      </c>
    </row>
    <row r="971" spans="1:2" x14ac:dyDescent="0.35">
      <c r="A971" s="8">
        <v>968</v>
      </c>
      <c r="B971" s="6">
        <v>2118493.7638928699</v>
      </c>
    </row>
    <row r="972" spans="1:2" x14ac:dyDescent="0.35">
      <c r="A972" s="8">
        <v>969</v>
      </c>
      <c r="B972" s="6">
        <v>2118568.1921489099</v>
      </c>
    </row>
    <row r="973" spans="1:2" x14ac:dyDescent="0.35">
      <c r="A973" s="8">
        <v>970</v>
      </c>
      <c r="B973" s="6">
        <v>2130889.9355257158</v>
      </c>
    </row>
    <row r="974" spans="1:2" x14ac:dyDescent="0.35">
      <c r="A974" s="8">
        <v>971</v>
      </c>
      <c r="B974" s="6">
        <v>2133456.0462695784</v>
      </c>
    </row>
    <row r="975" spans="1:2" x14ac:dyDescent="0.35">
      <c r="A975" s="8">
        <v>972</v>
      </c>
      <c r="B975" s="6">
        <v>2136904.8348976593</v>
      </c>
    </row>
    <row r="976" spans="1:2" x14ac:dyDescent="0.35">
      <c r="A976" s="8">
        <v>973</v>
      </c>
      <c r="B976" s="6">
        <v>2140593.7789531103</v>
      </c>
    </row>
    <row r="977" spans="1:2" x14ac:dyDescent="0.35">
      <c r="A977" s="8">
        <v>974</v>
      </c>
      <c r="B977" s="6">
        <v>2146372.0271852687</v>
      </c>
    </row>
    <row r="978" spans="1:2" x14ac:dyDescent="0.35">
      <c r="A978" s="8">
        <v>975</v>
      </c>
      <c r="B978" s="6">
        <v>2148950.2808185485</v>
      </c>
    </row>
    <row r="979" spans="1:2" x14ac:dyDescent="0.35">
      <c r="A979" s="8">
        <v>976</v>
      </c>
      <c r="B979" s="6">
        <v>2152537.5107086506</v>
      </c>
    </row>
    <row r="980" spans="1:2" x14ac:dyDescent="0.35">
      <c r="A980" s="8">
        <v>977</v>
      </c>
      <c r="B980" s="6">
        <v>2152726.6609821138</v>
      </c>
    </row>
    <row r="981" spans="1:2" x14ac:dyDescent="0.35">
      <c r="A981" s="8">
        <v>978</v>
      </c>
      <c r="B981" s="6">
        <v>2154092.0168618085</v>
      </c>
    </row>
    <row r="982" spans="1:2" x14ac:dyDescent="0.35">
      <c r="A982" s="8">
        <v>979</v>
      </c>
      <c r="B982" s="6">
        <v>2154140.8839558023</v>
      </c>
    </row>
    <row r="983" spans="1:2" x14ac:dyDescent="0.35">
      <c r="A983" s="8">
        <v>980</v>
      </c>
      <c r="B983" s="6">
        <v>2159110.9775519525</v>
      </c>
    </row>
    <row r="984" spans="1:2" x14ac:dyDescent="0.35">
      <c r="A984" s="8">
        <v>981</v>
      </c>
      <c r="B984" s="6">
        <v>2162801.9559168839</v>
      </c>
    </row>
    <row r="985" spans="1:2" x14ac:dyDescent="0.35">
      <c r="A985" s="8">
        <v>982</v>
      </c>
      <c r="B985" s="6">
        <v>2166224.3122793837</v>
      </c>
    </row>
    <row r="986" spans="1:2" x14ac:dyDescent="0.35">
      <c r="A986" s="8">
        <v>983</v>
      </c>
      <c r="B986" s="6">
        <v>2166524.4669657075</v>
      </c>
    </row>
    <row r="987" spans="1:2" x14ac:dyDescent="0.35">
      <c r="A987" s="8">
        <v>984</v>
      </c>
      <c r="B987" s="6">
        <v>2170333.6846185382</v>
      </c>
    </row>
    <row r="988" spans="1:2" x14ac:dyDescent="0.35">
      <c r="A988" s="8">
        <v>985</v>
      </c>
      <c r="B988" s="6">
        <v>2183899.445513214</v>
      </c>
    </row>
    <row r="989" spans="1:2" x14ac:dyDescent="0.35">
      <c r="A989" s="8">
        <v>986</v>
      </c>
      <c r="B989" s="6">
        <v>2185465.9606317091</v>
      </c>
    </row>
    <row r="990" spans="1:2" x14ac:dyDescent="0.35">
      <c r="A990" s="8">
        <v>987</v>
      </c>
      <c r="B990" s="6">
        <v>2190586.8683526777</v>
      </c>
    </row>
    <row r="991" spans="1:2" x14ac:dyDescent="0.35">
      <c r="A991" s="8">
        <v>988</v>
      </c>
      <c r="B991" s="6">
        <v>2192178.8287444492</v>
      </c>
    </row>
    <row r="992" spans="1:2" x14ac:dyDescent="0.35">
      <c r="A992" s="8">
        <v>989</v>
      </c>
      <c r="B992" s="6">
        <v>2192956.3759418149</v>
      </c>
    </row>
    <row r="993" spans="1:2" x14ac:dyDescent="0.35">
      <c r="A993" s="8">
        <v>990</v>
      </c>
      <c r="B993" s="6">
        <v>2202853.3777937056</v>
      </c>
    </row>
    <row r="994" spans="1:2" x14ac:dyDescent="0.35">
      <c r="A994" s="8">
        <v>991</v>
      </c>
      <c r="B994" s="6">
        <v>2206343.3339427509</v>
      </c>
    </row>
    <row r="995" spans="1:2" x14ac:dyDescent="0.35">
      <c r="A995" s="8">
        <v>992</v>
      </c>
      <c r="B995" s="6">
        <v>2211608.0006864057</v>
      </c>
    </row>
    <row r="996" spans="1:2" x14ac:dyDescent="0.35">
      <c r="A996" s="8">
        <v>993</v>
      </c>
      <c r="B996" s="6">
        <v>2214056.059011335</v>
      </c>
    </row>
    <row r="997" spans="1:2" x14ac:dyDescent="0.35">
      <c r="A997" s="8">
        <v>994</v>
      </c>
      <c r="B997" s="6">
        <v>2219736.7867346685</v>
      </c>
    </row>
    <row r="998" spans="1:2" x14ac:dyDescent="0.35">
      <c r="A998" s="8">
        <v>995</v>
      </c>
      <c r="B998" s="6">
        <v>2251697.046889253</v>
      </c>
    </row>
    <row r="999" spans="1:2" x14ac:dyDescent="0.35">
      <c r="A999" s="8">
        <v>996</v>
      </c>
      <c r="B999" s="6">
        <v>2278212.6292794337</v>
      </c>
    </row>
    <row r="1000" spans="1:2" x14ac:dyDescent="0.35">
      <c r="A1000" s="8">
        <v>997</v>
      </c>
      <c r="B1000" s="6">
        <v>2288742.6029084348</v>
      </c>
    </row>
    <row r="1001" spans="1:2" x14ac:dyDescent="0.35">
      <c r="A1001" s="8">
        <v>998</v>
      </c>
      <c r="B1001" s="6">
        <v>2342279.5463216589</v>
      </c>
    </row>
    <row r="1002" spans="1:2" x14ac:dyDescent="0.35">
      <c r="A1002" s="8">
        <v>999</v>
      </c>
      <c r="B1002" s="6">
        <v>2376945.2826122348</v>
      </c>
    </row>
    <row r="1003" spans="1:2" x14ac:dyDescent="0.35">
      <c r="A1003" s="8">
        <v>1000</v>
      </c>
      <c r="B1003" s="6">
        <v>2415093.8535019732</v>
      </c>
    </row>
  </sheetData>
  <sortState xmlns:xlrd2="http://schemas.microsoft.com/office/spreadsheetml/2017/richdata2" ref="B4:B1003">
    <sortCondition ref="B4:B1003"/>
  </sortState>
  <mergeCells count="7">
    <mergeCell ref="X2:Y2"/>
    <mergeCell ref="G1:Y1"/>
    <mergeCell ref="A1:B2"/>
    <mergeCell ref="D1:E2"/>
    <mergeCell ref="G2:L2"/>
    <mergeCell ref="N2:S2"/>
    <mergeCell ref="U2:V2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6DDB8-52ED-46D6-890B-DA8CA9D9F355}">
  <sheetPr codeName="Sheet9"/>
  <dimension ref="A1:Z201"/>
  <sheetViews>
    <sheetView workbookViewId="0">
      <selection activeCell="R3" sqref="R3:R169"/>
    </sheetView>
  </sheetViews>
  <sheetFormatPr defaultRowHeight="14.5" x14ac:dyDescent="0.35"/>
  <cols>
    <col min="1" max="1" width="4.1796875" customWidth="1"/>
    <col min="2" max="6" width="14.26953125" customWidth="1"/>
    <col min="7" max="7" width="11.26953125" bestFit="1" customWidth="1"/>
    <col min="8" max="8" width="10.1796875" style="8" customWidth="1"/>
    <col min="9" max="10" width="13.1796875" style="8" customWidth="1"/>
    <col min="11" max="17" width="11.26953125" bestFit="1" customWidth="1"/>
    <col min="18" max="19" width="10.7265625" customWidth="1"/>
    <col min="20" max="20" width="13.453125" bestFit="1" customWidth="1"/>
    <col min="21" max="22" width="10.7265625" customWidth="1"/>
    <col min="23" max="23" width="13.453125" bestFit="1" customWidth="1"/>
    <col min="24" max="25" width="10.7265625" customWidth="1"/>
    <col min="26" max="26" width="13.453125" bestFit="1" customWidth="1"/>
  </cols>
  <sheetData>
    <row r="1" spans="1:26" ht="20" thickBot="1" x14ac:dyDescent="0.5">
      <c r="A1" s="42" t="s">
        <v>18</v>
      </c>
      <c r="B1" s="42"/>
      <c r="C1" s="42"/>
      <c r="D1" s="42"/>
      <c r="E1" s="42"/>
      <c r="F1" s="42"/>
      <c r="H1" s="38" t="s">
        <v>538</v>
      </c>
      <c r="I1" s="38"/>
      <c r="J1" s="38"/>
      <c r="K1" s="38"/>
      <c r="L1" s="38"/>
      <c r="M1" s="38"/>
      <c r="N1" s="38"/>
      <c r="O1" s="38"/>
      <c r="P1" s="38"/>
      <c r="R1" s="38" t="s">
        <v>565</v>
      </c>
      <c r="S1" s="38"/>
      <c r="T1" s="38"/>
      <c r="U1" s="38"/>
      <c r="V1" s="38"/>
      <c r="W1" s="38"/>
      <c r="X1" s="38"/>
      <c r="Y1" s="38"/>
      <c r="Z1" s="38"/>
    </row>
    <row r="2" spans="1:26" ht="18" thickTop="1" thickBot="1" x14ac:dyDescent="0.45">
      <c r="A2">
        <v>1</v>
      </c>
      <c r="B2" s="6">
        <v>-118984865.83121315</v>
      </c>
      <c r="C2" s="6">
        <v>1296349.2273146685</v>
      </c>
      <c r="D2" s="6">
        <v>1492317.5889250324</v>
      </c>
      <c r="E2" s="6">
        <v>1666481.7406931343</v>
      </c>
      <c r="F2" s="6">
        <v>1849517.3022037207</v>
      </c>
      <c r="G2" s="6"/>
      <c r="H2" s="26" t="s">
        <v>535</v>
      </c>
      <c r="I2" s="26" t="s">
        <v>536</v>
      </c>
      <c r="J2" s="26" t="s">
        <v>537</v>
      </c>
      <c r="K2" s="26" t="s">
        <v>535</v>
      </c>
      <c r="L2" s="26" t="s">
        <v>536</v>
      </c>
      <c r="M2" s="26" t="s">
        <v>537</v>
      </c>
      <c r="N2" s="26" t="s">
        <v>535</v>
      </c>
      <c r="O2" s="26" t="s">
        <v>536</v>
      </c>
      <c r="P2" s="26" t="s">
        <v>537</v>
      </c>
      <c r="Q2" s="6"/>
      <c r="R2" s="7" t="s">
        <v>552</v>
      </c>
      <c r="S2" s="7" t="s">
        <v>551</v>
      </c>
      <c r="T2" s="7" t="s">
        <v>564</v>
      </c>
      <c r="U2" s="7" t="s">
        <v>552</v>
      </c>
      <c r="V2" s="7" t="s">
        <v>551</v>
      </c>
      <c r="W2" s="7" t="s">
        <v>564</v>
      </c>
      <c r="X2" s="7" t="s">
        <v>552</v>
      </c>
      <c r="Y2" s="7" t="s">
        <v>551</v>
      </c>
      <c r="Z2" s="7" t="s">
        <v>564</v>
      </c>
    </row>
    <row r="3" spans="1:26" ht="15" thickTop="1" x14ac:dyDescent="0.35">
      <c r="A3">
        <v>2</v>
      </c>
      <c r="B3" s="6">
        <v>-115098999.0809447</v>
      </c>
      <c r="C3" s="6">
        <v>1296556.7050649109</v>
      </c>
      <c r="D3" s="6">
        <v>1492622.2478216114</v>
      </c>
      <c r="E3" s="6">
        <v>1667313.9093244753</v>
      </c>
      <c r="F3" s="6">
        <v>1852757.3688258203</v>
      </c>
      <c r="G3" s="6"/>
      <c r="H3" s="8">
        <v>0</v>
      </c>
      <c r="I3" s="8">
        <v>2.63E-3</v>
      </c>
      <c r="J3" s="8">
        <v>1.8799999999999999E-3</v>
      </c>
      <c r="K3" s="8">
        <v>34</v>
      </c>
      <c r="L3" s="8">
        <v>2.0500000000000002E-3</v>
      </c>
      <c r="M3" s="8">
        <v>1.6100000000000001E-3</v>
      </c>
      <c r="N3" s="8">
        <v>68</v>
      </c>
      <c r="O3" s="8">
        <v>3.465E-2</v>
      </c>
      <c r="P3" s="8">
        <v>1.959E-2</v>
      </c>
      <c r="Q3" s="6"/>
      <c r="R3" s="13">
        <v>43978</v>
      </c>
      <c r="S3" s="27">
        <v>857.48</v>
      </c>
      <c r="T3" s="15"/>
      <c r="U3" s="13">
        <v>44215</v>
      </c>
      <c r="V3" s="27">
        <v>1131</v>
      </c>
      <c r="W3" s="22">
        <f>LN(V3/S169)+1</f>
        <v>0.94751996532817251</v>
      </c>
      <c r="X3" s="13">
        <v>44462</v>
      </c>
      <c r="Y3" s="27">
        <v>1352.76</v>
      </c>
      <c r="Z3" s="22">
        <f>LN(Y3/V169)+1</f>
        <v>1.0015387805243885</v>
      </c>
    </row>
    <row r="4" spans="1:26" x14ac:dyDescent="0.35">
      <c r="A4">
        <v>3</v>
      </c>
      <c r="B4" s="6">
        <v>-101437351.02749653</v>
      </c>
      <c r="C4" s="6">
        <v>1298939.4675742516</v>
      </c>
      <c r="D4" s="6">
        <v>1493123.2213395378</v>
      </c>
      <c r="E4" s="6">
        <v>1668026.0122586489</v>
      </c>
      <c r="F4" s="6">
        <v>1855827.554096339</v>
      </c>
      <c r="G4" s="6"/>
      <c r="H4" s="8">
        <v>1</v>
      </c>
      <c r="I4" s="8">
        <v>1.0300000000000001E-3</v>
      </c>
      <c r="J4" s="8">
        <v>8.4000000000000003E-4</v>
      </c>
      <c r="K4" s="8">
        <v>35</v>
      </c>
      <c r="L4" s="8">
        <v>2.1700000000000001E-3</v>
      </c>
      <c r="M4" s="8">
        <v>1.6999999999999999E-3</v>
      </c>
      <c r="N4" s="8">
        <v>69</v>
      </c>
      <c r="O4" s="8">
        <v>3.7810000000000003E-2</v>
      </c>
      <c r="P4" s="8">
        <v>2.1229999999999999E-2</v>
      </c>
      <c r="Q4" s="6"/>
      <c r="R4" s="13">
        <v>43979</v>
      </c>
      <c r="S4" s="27">
        <v>861.39</v>
      </c>
      <c r="T4" s="22">
        <f t="shared" ref="T4:T35" si="0">LN(S4/S3)+1</f>
        <v>1.0045495083910996</v>
      </c>
      <c r="U4" s="13">
        <v>44216</v>
      </c>
      <c r="V4" s="27">
        <v>1134.68</v>
      </c>
      <c r="W4" s="22">
        <f t="shared" ref="W4:W35" si="1">LN(V4/V3)+1</f>
        <v>1.0032484757213096</v>
      </c>
      <c r="X4" s="13">
        <v>44463</v>
      </c>
      <c r="Y4" s="27">
        <v>1351.17</v>
      </c>
      <c r="Z4" s="22">
        <f t="shared" ref="Z4:Z35" si="2">LN(Y4/Y3)+1</f>
        <v>0.99882393391599278</v>
      </c>
    </row>
    <row r="5" spans="1:26" x14ac:dyDescent="0.35">
      <c r="A5">
        <v>4</v>
      </c>
      <c r="B5" s="6">
        <v>-87621399.258515909</v>
      </c>
      <c r="C5" s="6">
        <v>1298990.6065589562</v>
      </c>
      <c r="D5" s="6">
        <v>1493488.3832836333</v>
      </c>
      <c r="E5" s="6">
        <v>1668058.0630298965</v>
      </c>
      <c r="F5" s="6">
        <v>1857815.8734039958</v>
      </c>
      <c r="G5" s="6"/>
      <c r="H5" s="8">
        <v>2</v>
      </c>
      <c r="I5" s="8">
        <v>9.8999999999999999E-4</v>
      </c>
      <c r="J5" s="8">
        <v>8.0000000000000004E-4</v>
      </c>
      <c r="K5" s="8">
        <v>36</v>
      </c>
      <c r="L5" s="8">
        <v>2.32E-3</v>
      </c>
      <c r="M5" s="8">
        <v>1.82E-3</v>
      </c>
      <c r="N5" s="8">
        <v>70</v>
      </c>
      <c r="O5" s="8">
        <v>4.1369999999999997E-2</v>
      </c>
      <c r="P5" s="8">
        <v>2.316E-2</v>
      </c>
      <c r="Q5" s="6"/>
      <c r="R5" s="13">
        <v>43980</v>
      </c>
      <c r="S5" s="27">
        <v>864.47</v>
      </c>
      <c r="T5" s="22">
        <f t="shared" si="0"/>
        <v>1.0035692388372124</v>
      </c>
      <c r="U5" s="13">
        <v>44217</v>
      </c>
      <c r="V5" s="27">
        <v>1164.21</v>
      </c>
      <c r="W5" s="22">
        <f t="shared" si="1"/>
        <v>1.0256920725527323</v>
      </c>
      <c r="X5" s="13">
        <v>44466</v>
      </c>
      <c r="Y5" s="27">
        <v>1324.99</v>
      </c>
      <c r="Z5" s="15">
        <f t="shared" si="2"/>
        <v>0.98043402846159822</v>
      </c>
    </row>
    <row r="6" spans="1:26" x14ac:dyDescent="0.35">
      <c r="A6">
        <v>5</v>
      </c>
      <c r="B6" s="6">
        <v>-76533602.78708002</v>
      </c>
      <c r="C6" s="6">
        <v>1300350.6496478638</v>
      </c>
      <c r="D6" s="6">
        <v>1496521.8734288099</v>
      </c>
      <c r="E6" s="6">
        <v>1668098.2407216297</v>
      </c>
      <c r="F6" s="6">
        <v>1857863.5822861888</v>
      </c>
      <c r="G6" s="6"/>
      <c r="H6" s="8">
        <v>3</v>
      </c>
      <c r="I6" s="8">
        <v>9.7000000000000005E-4</v>
      </c>
      <c r="J6" s="8">
        <v>7.7999999999999999E-4</v>
      </c>
      <c r="K6" s="8">
        <v>37</v>
      </c>
      <c r="L6" s="8">
        <v>2.49E-3</v>
      </c>
      <c r="M6" s="8">
        <v>1.9599999999999999E-3</v>
      </c>
      <c r="N6" s="8">
        <v>71</v>
      </c>
      <c r="O6" s="8">
        <v>4.5429999999999998E-2</v>
      </c>
      <c r="P6" s="8">
        <v>2.5530000000000001E-2</v>
      </c>
      <c r="Q6" s="6"/>
      <c r="R6" s="13">
        <v>43983</v>
      </c>
      <c r="S6" s="27">
        <v>878.67</v>
      </c>
      <c r="T6" s="22">
        <f t="shared" si="0"/>
        <v>1.0162927981925527</v>
      </c>
      <c r="U6" s="13">
        <v>44218</v>
      </c>
      <c r="V6" s="27">
        <v>1166.78</v>
      </c>
      <c r="W6" s="22">
        <f t="shared" si="1"/>
        <v>1.002205072558314</v>
      </c>
      <c r="X6" s="13">
        <v>44467</v>
      </c>
      <c r="Y6" s="27">
        <v>1339.31</v>
      </c>
      <c r="Z6" s="22">
        <f t="shared" si="2"/>
        <v>1.0107496437301935</v>
      </c>
    </row>
    <row r="7" spans="1:26" x14ac:dyDescent="0.35">
      <c r="A7">
        <v>6</v>
      </c>
      <c r="B7" s="6">
        <v>-68942883.133479565</v>
      </c>
      <c r="C7" s="6">
        <v>1300533.5488769608</v>
      </c>
      <c r="D7" s="6">
        <v>1496951.2076354814</v>
      </c>
      <c r="E7" s="6">
        <v>1670539.0078031686</v>
      </c>
      <c r="F7" s="6">
        <v>1857973.2189986121</v>
      </c>
      <c r="G7" s="6"/>
      <c r="H7" s="8">
        <v>4</v>
      </c>
      <c r="I7" s="8">
        <v>9.3000000000000005E-4</v>
      </c>
      <c r="J7" s="8">
        <v>7.6999999999999996E-4</v>
      </c>
      <c r="K7" s="8">
        <v>38</v>
      </c>
      <c r="L7" s="8">
        <v>2.6800000000000001E-3</v>
      </c>
      <c r="M7" s="8">
        <v>2.1299999999999999E-3</v>
      </c>
      <c r="N7" s="8">
        <v>72</v>
      </c>
      <c r="O7" s="8">
        <v>5.008E-2</v>
      </c>
      <c r="P7" s="8">
        <v>2.8469999999999999E-2</v>
      </c>
      <c r="Q7" s="6"/>
      <c r="R7" s="13">
        <v>43984</v>
      </c>
      <c r="S7" s="27">
        <v>874.8</v>
      </c>
      <c r="T7" s="22">
        <f t="shared" si="0"/>
        <v>0.99558588822881322</v>
      </c>
      <c r="U7" s="13">
        <v>44221</v>
      </c>
      <c r="V7" s="27">
        <v>1166.05</v>
      </c>
      <c r="W7" s="22">
        <f t="shared" si="1"/>
        <v>0.99937415068922497</v>
      </c>
      <c r="X7" s="13">
        <v>44468</v>
      </c>
      <c r="Y7" s="27">
        <v>1339.21</v>
      </c>
      <c r="Z7" s="22">
        <f t="shared" si="2"/>
        <v>0.99992533189967114</v>
      </c>
    </row>
    <row r="8" spans="1:26" x14ac:dyDescent="0.35">
      <c r="A8">
        <v>7</v>
      </c>
      <c r="B8" s="6">
        <v>-64079898.880185261</v>
      </c>
      <c r="C8" s="6">
        <v>1301229.828661947</v>
      </c>
      <c r="D8" s="6">
        <v>1497051.5921667453</v>
      </c>
      <c r="E8" s="6">
        <v>1670793.7703210404</v>
      </c>
      <c r="F8" s="6">
        <v>1859156.7687720419</v>
      </c>
      <c r="G8" s="6"/>
      <c r="H8" s="8">
        <v>5</v>
      </c>
      <c r="I8" s="8">
        <v>8.8000000000000003E-4</v>
      </c>
      <c r="J8" s="8">
        <v>7.5000000000000002E-4</v>
      </c>
      <c r="K8" s="8">
        <v>39</v>
      </c>
      <c r="L8" s="8">
        <v>2.8999999999999998E-3</v>
      </c>
      <c r="M8" s="8">
        <v>2.32E-3</v>
      </c>
      <c r="N8" s="8">
        <v>73</v>
      </c>
      <c r="O8" s="8">
        <v>5.534E-2</v>
      </c>
      <c r="P8" s="8">
        <v>3.1989999999999998E-2</v>
      </c>
      <c r="Q8" s="6"/>
      <c r="R8" s="13">
        <v>43985</v>
      </c>
      <c r="S8" s="27">
        <v>881.17</v>
      </c>
      <c r="T8" s="22">
        <f t="shared" si="0"/>
        <v>1.0072552810612552</v>
      </c>
      <c r="U8" s="13">
        <v>44222</v>
      </c>
      <c r="V8" s="27">
        <v>1136.1199999999999</v>
      </c>
      <c r="W8" s="22">
        <f t="shared" si="1"/>
        <v>0.9739969798673549</v>
      </c>
      <c r="X8" s="13">
        <v>44469</v>
      </c>
      <c r="Y8" s="27">
        <v>1342.06</v>
      </c>
      <c r="Z8" s="22">
        <f t="shared" si="2"/>
        <v>1.0021258590692679</v>
      </c>
    </row>
    <row r="9" spans="1:26" x14ac:dyDescent="0.35">
      <c r="A9">
        <v>8</v>
      </c>
      <c r="B9" s="6">
        <v>-63450769.314306319</v>
      </c>
      <c r="C9" s="6">
        <v>1301392.2215726161</v>
      </c>
      <c r="D9" s="6">
        <v>1498284.9012656705</v>
      </c>
      <c r="E9" s="6">
        <v>1672149.042262638</v>
      </c>
      <c r="F9" s="6">
        <v>1860160.974166536</v>
      </c>
      <c r="G9" s="6"/>
      <c r="H9" s="8">
        <v>6</v>
      </c>
      <c r="I9" s="8">
        <v>8.3000000000000001E-4</v>
      </c>
      <c r="J9" s="8">
        <v>7.2999999999999996E-4</v>
      </c>
      <c r="K9" s="8">
        <v>40</v>
      </c>
      <c r="L9" s="8">
        <v>3.15E-3</v>
      </c>
      <c r="M9" s="8">
        <v>2.5300000000000001E-3</v>
      </c>
      <c r="N9" s="8">
        <v>74</v>
      </c>
      <c r="O9" s="8">
        <v>6.1100000000000002E-2</v>
      </c>
      <c r="P9" s="8">
        <v>3.6049999999999999E-2</v>
      </c>
      <c r="Q9" s="6"/>
      <c r="R9" s="13">
        <v>43986</v>
      </c>
      <c r="S9" s="27">
        <v>883.9</v>
      </c>
      <c r="T9" s="22">
        <f t="shared" si="0"/>
        <v>1.0030933642030342</v>
      </c>
      <c r="U9" s="13">
        <v>44223</v>
      </c>
      <c r="V9" s="27">
        <v>1097.17</v>
      </c>
      <c r="W9" s="22">
        <f t="shared" si="1"/>
        <v>0.96511518885866332</v>
      </c>
      <c r="X9" s="13">
        <v>44470</v>
      </c>
      <c r="Y9" s="27">
        <v>1334.89</v>
      </c>
      <c r="Z9" s="22">
        <f t="shared" si="2"/>
        <v>0.99464314451462121</v>
      </c>
    </row>
    <row r="10" spans="1:26" x14ac:dyDescent="0.35">
      <c r="A10">
        <v>9</v>
      </c>
      <c r="B10" s="6">
        <v>-62449348.790624991</v>
      </c>
      <c r="C10" s="6">
        <v>1305384.1428403785</v>
      </c>
      <c r="D10" s="6">
        <v>1500075.3725647568</v>
      </c>
      <c r="E10" s="6">
        <v>1675323.6882095281</v>
      </c>
      <c r="F10" s="6">
        <v>1861225.0109753981</v>
      </c>
      <c r="G10" s="6"/>
      <c r="H10" s="8">
        <v>7</v>
      </c>
      <c r="I10" s="8">
        <v>7.7999999999999999E-4</v>
      </c>
      <c r="J10" s="8">
        <v>7.1000000000000002E-4</v>
      </c>
      <c r="K10" s="8">
        <v>41</v>
      </c>
      <c r="L10" s="8">
        <v>3.4199999999999999E-3</v>
      </c>
      <c r="M10" s="8">
        <v>2.7499999999999998E-3</v>
      </c>
      <c r="N10" s="8">
        <v>75</v>
      </c>
      <c r="O10" s="8">
        <v>6.7250000000000004E-2</v>
      </c>
      <c r="P10" s="8">
        <v>4.0559999999999999E-2</v>
      </c>
      <c r="Q10" s="6"/>
      <c r="R10" s="13">
        <v>43987</v>
      </c>
      <c r="S10" s="27">
        <v>886.22</v>
      </c>
      <c r="T10" s="22">
        <f t="shared" si="0"/>
        <v>1.0026212927128411</v>
      </c>
      <c r="U10" s="13">
        <v>44224</v>
      </c>
      <c r="V10" s="27">
        <v>1023.94</v>
      </c>
      <c r="W10" s="22">
        <f t="shared" si="1"/>
        <v>0.93092379376905288</v>
      </c>
      <c r="X10" s="13">
        <v>44473</v>
      </c>
      <c r="Y10" s="27">
        <v>1339.54</v>
      </c>
      <c r="Z10" s="22">
        <f t="shared" si="2"/>
        <v>1.0034773799917855</v>
      </c>
    </row>
    <row r="11" spans="1:26" x14ac:dyDescent="0.35">
      <c r="A11">
        <v>10</v>
      </c>
      <c r="B11" s="6">
        <v>-50771919.76644665</v>
      </c>
      <c r="C11" s="6">
        <v>1306767.2931084144</v>
      </c>
      <c r="D11" s="6">
        <v>1500415.0000621234</v>
      </c>
      <c r="E11" s="6">
        <v>1676232.0338666332</v>
      </c>
      <c r="F11" s="6">
        <v>1861978.0817987614</v>
      </c>
      <c r="G11" s="6"/>
      <c r="H11" s="8">
        <v>8</v>
      </c>
      <c r="I11" s="8">
        <v>7.5000000000000002E-4</v>
      </c>
      <c r="J11" s="8">
        <v>6.9999999999999999E-4</v>
      </c>
      <c r="K11" s="8">
        <v>42</v>
      </c>
      <c r="L11" s="8">
        <v>3.7100000000000002E-3</v>
      </c>
      <c r="M11" s="8">
        <v>2.98E-3</v>
      </c>
      <c r="N11" s="8">
        <v>76</v>
      </c>
      <c r="O11" s="8">
        <v>7.3700000000000002E-2</v>
      </c>
      <c r="P11" s="8">
        <v>4.5449999999999997E-2</v>
      </c>
      <c r="Q11" s="6"/>
      <c r="R11" s="13">
        <v>43990</v>
      </c>
      <c r="S11" s="27">
        <v>899.92</v>
      </c>
      <c r="T11" s="22">
        <f t="shared" si="0"/>
        <v>1.0153406437048269</v>
      </c>
      <c r="U11" s="13">
        <v>44225</v>
      </c>
      <c r="V11" s="27">
        <v>1056.6099999999999</v>
      </c>
      <c r="W11" s="22">
        <f t="shared" si="1"/>
        <v>1.0314077388721721</v>
      </c>
      <c r="X11" s="13">
        <v>44474</v>
      </c>
      <c r="Y11" s="27">
        <v>1354.63</v>
      </c>
      <c r="Z11" s="22">
        <f t="shared" si="2"/>
        <v>1.0112020828671877</v>
      </c>
    </row>
    <row r="12" spans="1:26" x14ac:dyDescent="0.35">
      <c r="A12">
        <v>11</v>
      </c>
      <c r="B12" s="6">
        <v>-49701160.302690513</v>
      </c>
      <c r="C12" s="6">
        <v>1307177.7898666817</v>
      </c>
      <c r="D12" s="6">
        <v>1502847.3537583782</v>
      </c>
      <c r="E12" s="6">
        <v>1676654.8174528026</v>
      </c>
      <c r="F12" s="6">
        <v>1866668.4418408182</v>
      </c>
      <c r="G12" s="6"/>
      <c r="H12" s="8">
        <v>9</v>
      </c>
      <c r="I12" s="8">
        <v>7.3999999999999999E-4</v>
      </c>
      <c r="J12" s="8">
        <v>6.8999999999999997E-4</v>
      </c>
      <c r="K12" s="8">
        <v>43</v>
      </c>
      <c r="L12" s="8">
        <v>4.0299999999999997E-3</v>
      </c>
      <c r="M12" s="8">
        <v>3.2000000000000002E-3</v>
      </c>
      <c r="N12" s="8">
        <v>77</v>
      </c>
      <c r="O12" s="8">
        <v>8.0369999999999997E-2</v>
      </c>
      <c r="P12" s="8">
        <v>5.0680000000000003E-2</v>
      </c>
      <c r="Q12" s="6"/>
      <c r="R12" s="13">
        <v>43991</v>
      </c>
      <c r="S12" s="27">
        <v>899.43</v>
      </c>
      <c r="T12" s="22">
        <f t="shared" si="0"/>
        <v>0.99945535886613224</v>
      </c>
      <c r="U12" s="13">
        <v>44228</v>
      </c>
      <c r="V12" s="27">
        <v>1035.51</v>
      </c>
      <c r="W12" s="22">
        <f t="shared" si="1"/>
        <v>0.9798283889545133</v>
      </c>
      <c r="X12" s="13">
        <v>44475</v>
      </c>
      <c r="Y12" s="27">
        <v>1362.82</v>
      </c>
      <c r="Z12" s="22">
        <f t="shared" si="2"/>
        <v>1.0060277280521093</v>
      </c>
    </row>
    <row r="13" spans="1:26" x14ac:dyDescent="0.35">
      <c r="A13">
        <v>12</v>
      </c>
      <c r="B13" s="6">
        <v>-49325087.073944911</v>
      </c>
      <c r="C13" s="6">
        <v>1308210.4908323756</v>
      </c>
      <c r="D13" s="6">
        <v>1504850.3938092953</v>
      </c>
      <c r="E13" s="6">
        <v>1678972.7648254605</v>
      </c>
      <c r="F13" s="6">
        <v>1867066.3137338546</v>
      </c>
      <c r="G13" s="6"/>
      <c r="H13" s="8">
        <v>10</v>
      </c>
      <c r="I13" s="8">
        <v>7.5000000000000002E-4</v>
      </c>
      <c r="J13" s="8">
        <v>6.8000000000000005E-4</v>
      </c>
      <c r="K13" s="8">
        <v>44</v>
      </c>
      <c r="L13" s="8">
        <v>4.3699999999999998E-3</v>
      </c>
      <c r="M13" s="8">
        <v>3.4399999999999999E-3</v>
      </c>
      <c r="N13" s="8">
        <v>78</v>
      </c>
      <c r="O13" s="8">
        <v>8.7319999999999995E-2</v>
      </c>
      <c r="P13" s="8">
        <v>5.6320000000000002E-2</v>
      </c>
      <c r="Q13" s="6"/>
      <c r="R13" s="13">
        <v>43992</v>
      </c>
      <c r="S13" s="27">
        <v>900</v>
      </c>
      <c r="T13" s="22">
        <f t="shared" si="0"/>
        <v>1.0006335339736081</v>
      </c>
      <c r="U13" s="13">
        <v>44229</v>
      </c>
      <c r="V13" s="27">
        <v>1075.53</v>
      </c>
      <c r="W13" s="22">
        <f t="shared" si="1"/>
        <v>1.0379195043620859</v>
      </c>
      <c r="X13" s="13">
        <v>44476</v>
      </c>
      <c r="Y13" s="27">
        <v>1365.99</v>
      </c>
      <c r="Z13" s="22">
        <f t="shared" si="2"/>
        <v>1.002323358112855</v>
      </c>
    </row>
    <row r="14" spans="1:26" x14ac:dyDescent="0.35">
      <c r="A14">
        <v>13</v>
      </c>
      <c r="B14" s="6">
        <v>-48353627.309875116</v>
      </c>
      <c r="C14" s="6">
        <v>1311738.8699587961</v>
      </c>
      <c r="D14" s="6">
        <v>1505813.6487385277</v>
      </c>
      <c r="E14" s="6">
        <v>1679148.6154994147</v>
      </c>
      <c r="F14" s="6">
        <v>1867284.3214592556</v>
      </c>
      <c r="G14" s="6"/>
      <c r="H14" s="8">
        <v>11</v>
      </c>
      <c r="I14" s="8">
        <v>8.0999999999999996E-4</v>
      </c>
      <c r="J14" s="8">
        <v>6.9999999999999999E-4</v>
      </c>
      <c r="K14" s="8">
        <v>45</v>
      </c>
      <c r="L14" s="8">
        <v>4.7299999999999998E-3</v>
      </c>
      <c r="M14" s="8">
        <v>3.6800000000000001E-3</v>
      </c>
      <c r="N14" s="8">
        <v>79</v>
      </c>
      <c r="O14" s="8">
        <v>9.4759999999999997E-2</v>
      </c>
      <c r="P14" s="8">
        <v>6.2570000000000001E-2</v>
      </c>
      <c r="Q14" s="6"/>
      <c r="R14" s="13">
        <v>43993</v>
      </c>
      <c r="S14" s="27">
        <v>867.37</v>
      </c>
      <c r="T14" s="22">
        <f t="shared" si="0"/>
        <v>0.963070881359404</v>
      </c>
      <c r="U14" s="13">
        <v>44230</v>
      </c>
      <c r="V14" s="27">
        <v>1111.29</v>
      </c>
      <c r="W14" s="22">
        <f t="shared" si="1"/>
        <v>1.0327079393593106</v>
      </c>
      <c r="X14" s="13">
        <v>44477</v>
      </c>
      <c r="Y14" s="27">
        <v>1372.73</v>
      </c>
      <c r="Z14" s="22">
        <f t="shared" si="2"/>
        <v>1.0049220172979159</v>
      </c>
    </row>
    <row r="15" spans="1:26" x14ac:dyDescent="0.35">
      <c r="A15">
        <v>14</v>
      </c>
      <c r="B15" s="6">
        <v>-40420978.967657223</v>
      </c>
      <c r="C15" s="6">
        <v>1311772.4800004158</v>
      </c>
      <c r="D15" s="6">
        <v>1505896.0849992535</v>
      </c>
      <c r="E15" s="6">
        <v>1679675.3795202472</v>
      </c>
      <c r="F15" s="6">
        <v>1868528.9388942798</v>
      </c>
      <c r="G15" s="6"/>
      <c r="H15" s="8">
        <v>12</v>
      </c>
      <c r="I15" s="8">
        <v>9.2000000000000003E-4</v>
      </c>
      <c r="J15" s="8">
        <v>7.2999999999999996E-4</v>
      </c>
      <c r="K15" s="8">
        <v>46</v>
      </c>
      <c r="L15" s="8">
        <v>5.1200000000000004E-3</v>
      </c>
      <c r="M15" s="8">
        <v>3.9199999999999999E-3</v>
      </c>
      <c r="N15" s="8">
        <v>80</v>
      </c>
      <c r="O15" s="8">
        <v>0.10294</v>
      </c>
      <c r="P15" s="8">
        <v>6.9669999999999996E-2</v>
      </c>
      <c r="Q15" s="6"/>
      <c r="R15" s="13">
        <v>43994</v>
      </c>
      <c r="S15" s="27">
        <v>863.52</v>
      </c>
      <c r="T15" s="22">
        <f t="shared" si="0"/>
        <v>0.99555141418661774</v>
      </c>
      <c r="U15" s="13">
        <v>44231</v>
      </c>
      <c r="V15" s="27">
        <v>1112.19</v>
      </c>
      <c r="W15" s="22">
        <f t="shared" si="1"/>
        <v>1.0008095418435532</v>
      </c>
      <c r="X15" s="13">
        <v>44480</v>
      </c>
      <c r="Y15" s="27">
        <v>1394.09</v>
      </c>
      <c r="Z15" s="22">
        <f t="shared" si="2"/>
        <v>1.0154404148890979</v>
      </c>
    </row>
    <row r="16" spans="1:26" x14ac:dyDescent="0.35">
      <c r="A16">
        <v>15</v>
      </c>
      <c r="B16" s="6">
        <v>-40273211.125137776</v>
      </c>
      <c r="C16" s="6">
        <v>1313480.0997625133</v>
      </c>
      <c r="D16" s="6">
        <v>1506757.6918724324</v>
      </c>
      <c r="E16" s="6">
        <v>1680073.8906436122</v>
      </c>
      <c r="F16" s="6">
        <v>1870284.646628252</v>
      </c>
      <c r="G16" s="6"/>
      <c r="H16" s="8">
        <v>13</v>
      </c>
      <c r="I16" s="8">
        <v>1.07E-3</v>
      </c>
      <c r="J16" s="8">
        <v>7.6999999999999996E-4</v>
      </c>
      <c r="K16" s="8">
        <v>47</v>
      </c>
      <c r="L16" s="8">
        <v>5.5300000000000002E-3</v>
      </c>
      <c r="M16" s="8">
        <v>4.1900000000000001E-3</v>
      </c>
      <c r="N16" s="8">
        <v>81</v>
      </c>
      <c r="O16" s="8">
        <v>0.11209</v>
      </c>
      <c r="P16" s="8">
        <v>7.7829999999999996E-2</v>
      </c>
      <c r="Q16" s="6"/>
      <c r="R16" s="13">
        <v>43997</v>
      </c>
      <c r="S16" s="27">
        <v>832.47</v>
      </c>
      <c r="T16" s="22">
        <f t="shared" si="0"/>
        <v>0.96338012629891667</v>
      </c>
      <c r="U16" s="13">
        <v>44232</v>
      </c>
      <c r="V16" s="27">
        <v>1126.9100000000001</v>
      </c>
      <c r="W16" s="22">
        <f t="shared" si="1"/>
        <v>1.0131483292963779</v>
      </c>
      <c r="X16" s="13">
        <v>44481</v>
      </c>
      <c r="Y16" s="27">
        <v>1394.8</v>
      </c>
      <c r="Z16" s="22">
        <f t="shared" si="2"/>
        <v>1.0005091631547598</v>
      </c>
    </row>
    <row r="17" spans="1:26" x14ac:dyDescent="0.35">
      <c r="A17">
        <v>16</v>
      </c>
      <c r="B17" s="6">
        <v>-37342414.404788338</v>
      </c>
      <c r="C17" s="6">
        <v>1314183.9832756789</v>
      </c>
      <c r="D17" s="6">
        <v>1507272.8089530747</v>
      </c>
      <c r="E17" s="6">
        <v>1683533.2539126081</v>
      </c>
      <c r="F17" s="6">
        <v>1873817.7781418329</v>
      </c>
      <c r="G17" s="6"/>
      <c r="H17" s="8">
        <v>14</v>
      </c>
      <c r="I17" s="8">
        <v>1.24E-3</v>
      </c>
      <c r="J17" s="8">
        <v>8.1999999999999998E-4</v>
      </c>
      <c r="K17" s="8">
        <v>48</v>
      </c>
      <c r="L17" s="8">
        <v>5.9699999999999996E-3</v>
      </c>
      <c r="M17" s="8">
        <v>4.4799999999999996E-3</v>
      </c>
      <c r="N17" s="8">
        <v>82</v>
      </c>
      <c r="O17" s="8">
        <v>0.12241</v>
      </c>
      <c r="P17" s="8">
        <v>8.7249999999999994E-2</v>
      </c>
      <c r="Q17" s="6"/>
      <c r="R17" s="13">
        <v>43998</v>
      </c>
      <c r="S17" s="27">
        <v>856.13</v>
      </c>
      <c r="T17" s="22">
        <f t="shared" si="0"/>
        <v>1.0280250486004181</v>
      </c>
      <c r="U17" s="13">
        <v>44235</v>
      </c>
      <c r="V17" s="27">
        <v>1083.18</v>
      </c>
      <c r="W17" s="22">
        <f t="shared" si="1"/>
        <v>0.96042178535583622</v>
      </c>
      <c r="X17" s="13">
        <v>44482</v>
      </c>
      <c r="Y17" s="27">
        <v>1391.91</v>
      </c>
      <c r="Z17" s="22">
        <f t="shared" si="2"/>
        <v>0.9979258688302195</v>
      </c>
    </row>
    <row r="18" spans="1:26" x14ac:dyDescent="0.35">
      <c r="A18">
        <v>17</v>
      </c>
      <c r="B18" s="6">
        <v>-36766535.572907507</v>
      </c>
      <c r="C18" s="6">
        <v>1314966.5186852599</v>
      </c>
      <c r="D18" s="6">
        <v>1508309.6914039538</v>
      </c>
      <c r="E18" s="6">
        <v>1684593.5958078138</v>
      </c>
      <c r="F18" s="6">
        <v>1874073.6176821501</v>
      </c>
      <c r="G18" s="6"/>
      <c r="H18" s="8">
        <v>15</v>
      </c>
      <c r="I18" s="8">
        <v>1.42E-3</v>
      </c>
      <c r="J18" s="8">
        <v>8.7000000000000001E-4</v>
      </c>
      <c r="K18" s="8">
        <v>49</v>
      </c>
      <c r="L18" s="8">
        <v>6.4599999999999996E-3</v>
      </c>
      <c r="M18" s="8">
        <v>4.79E-3</v>
      </c>
      <c r="N18" s="8">
        <v>83</v>
      </c>
      <c r="O18" s="8">
        <v>0.13383999999999999</v>
      </c>
      <c r="P18" s="8">
        <v>9.7900000000000001E-2</v>
      </c>
      <c r="Q18" s="6"/>
      <c r="R18" s="13">
        <v>43999</v>
      </c>
      <c r="S18" s="27">
        <v>854.44</v>
      </c>
      <c r="T18" s="22">
        <f t="shared" si="0"/>
        <v>0.99802404981980664</v>
      </c>
      <c r="U18" s="13">
        <v>44236</v>
      </c>
      <c r="V18" s="27">
        <v>1114.93</v>
      </c>
      <c r="W18" s="22">
        <f t="shared" si="1"/>
        <v>1.0288904634777756</v>
      </c>
      <c r="X18" s="13">
        <v>44483</v>
      </c>
      <c r="Y18" s="27">
        <v>1391.85</v>
      </c>
      <c r="Z18" s="22">
        <f t="shared" si="2"/>
        <v>0.99995689283558242</v>
      </c>
    </row>
    <row r="19" spans="1:26" x14ac:dyDescent="0.35">
      <c r="A19">
        <v>18</v>
      </c>
      <c r="B19" s="6">
        <v>-36195242.05539003</v>
      </c>
      <c r="C19" s="6">
        <v>1315197.7492390701</v>
      </c>
      <c r="D19" s="6">
        <v>1513290.6278306297</v>
      </c>
      <c r="E19" s="6">
        <v>1684610.2467751915</v>
      </c>
      <c r="F19" s="6">
        <v>1877804.2175052874</v>
      </c>
      <c r="G19" s="6"/>
      <c r="H19" s="8">
        <v>16</v>
      </c>
      <c r="I19" s="8">
        <v>1.5900000000000001E-3</v>
      </c>
      <c r="J19" s="8">
        <v>9.2000000000000003E-4</v>
      </c>
      <c r="K19" s="8">
        <v>50</v>
      </c>
      <c r="L19" s="8">
        <v>7.0000000000000001E-3</v>
      </c>
      <c r="M19" s="8">
        <v>5.13E-3</v>
      </c>
      <c r="N19" s="8">
        <v>84</v>
      </c>
      <c r="O19" s="8">
        <v>0.14612</v>
      </c>
      <c r="P19" s="8">
        <v>0.10962</v>
      </c>
      <c r="Q19" s="6"/>
      <c r="R19" s="13">
        <v>44000</v>
      </c>
      <c r="S19" s="27">
        <v>855.27</v>
      </c>
      <c r="T19" s="22">
        <f t="shared" si="0"/>
        <v>1.0009709249699692</v>
      </c>
      <c r="U19" s="13">
        <v>44244</v>
      </c>
      <c r="V19" s="27">
        <v>1155.78</v>
      </c>
      <c r="W19" s="22">
        <f t="shared" si="1"/>
        <v>1.0359838180477243</v>
      </c>
      <c r="X19" s="13">
        <v>44484</v>
      </c>
      <c r="Y19" s="27">
        <v>1392.7</v>
      </c>
      <c r="Z19" s="22">
        <f t="shared" si="2"/>
        <v>1.0006105115917483</v>
      </c>
    </row>
    <row r="20" spans="1:26" x14ac:dyDescent="0.35">
      <c r="A20">
        <v>19</v>
      </c>
      <c r="B20" s="6">
        <v>-35129469.692061976</v>
      </c>
      <c r="C20" s="6">
        <v>1316943.4749732332</v>
      </c>
      <c r="D20" s="6">
        <v>1513715.0068156673</v>
      </c>
      <c r="E20" s="6">
        <v>1685548.6686249087</v>
      </c>
      <c r="F20" s="6">
        <v>1879221.1867368806</v>
      </c>
      <c r="G20" s="6"/>
      <c r="H20" s="8">
        <v>17</v>
      </c>
      <c r="I20" s="8">
        <v>1.72E-3</v>
      </c>
      <c r="J20" s="8">
        <v>9.6000000000000002E-4</v>
      </c>
      <c r="K20" s="8">
        <v>51</v>
      </c>
      <c r="L20" s="8">
        <v>7.6299999999999996E-3</v>
      </c>
      <c r="M20" s="8">
        <v>5.4999999999999997E-3</v>
      </c>
      <c r="N20" s="8">
        <v>85</v>
      </c>
      <c r="O20" s="8">
        <v>0.15898000000000001</v>
      </c>
      <c r="P20" s="8">
        <v>0.12229</v>
      </c>
      <c r="Q20" s="6"/>
      <c r="R20" s="13">
        <v>44001</v>
      </c>
      <c r="S20" s="27">
        <v>868.56</v>
      </c>
      <c r="T20" s="22">
        <f t="shared" si="0"/>
        <v>1.0154194593641535</v>
      </c>
      <c r="U20" s="13">
        <v>44245</v>
      </c>
      <c r="V20" s="27">
        <v>1174.3800000000001</v>
      </c>
      <c r="W20" s="22">
        <f t="shared" si="1"/>
        <v>1.0159649080403659</v>
      </c>
      <c r="X20" s="13">
        <v>44487</v>
      </c>
      <c r="Y20" s="27">
        <v>1395.53</v>
      </c>
      <c r="Z20" s="22">
        <f t="shared" si="2"/>
        <v>1.0020299623573445</v>
      </c>
    </row>
    <row r="21" spans="1:26" x14ac:dyDescent="0.35">
      <c r="A21">
        <v>20</v>
      </c>
      <c r="B21" s="6">
        <v>-33218304.659759965</v>
      </c>
      <c r="C21" s="6">
        <v>1317035.0440627574</v>
      </c>
      <c r="D21" s="6">
        <v>1513725.5760760361</v>
      </c>
      <c r="E21" s="6">
        <v>1685845.7382853115</v>
      </c>
      <c r="F21" s="6">
        <v>1879230.9511142804</v>
      </c>
      <c r="G21" s="6"/>
      <c r="H21" s="8">
        <v>18</v>
      </c>
      <c r="I21" s="8">
        <v>1.82E-3</v>
      </c>
      <c r="J21" s="8">
        <v>1E-3</v>
      </c>
      <c r="K21" s="8">
        <v>52</v>
      </c>
      <c r="L21" s="8">
        <v>8.3300000000000006E-3</v>
      </c>
      <c r="M21" s="8">
        <v>5.9199999999999999E-3</v>
      </c>
      <c r="N21" s="8">
        <v>86</v>
      </c>
      <c r="O21" s="8">
        <v>0.17221</v>
      </c>
      <c r="P21" s="8">
        <v>0.13582</v>
      </c>
      <c r="Q21" s="6"/>
      <c r="R21" s="13">
        <v>44004</v>
      </c>
      <c r="S21" s="27">
        <v>871.28</v>
      </c>
      <c r="T21" s="22">
        <f t="shared" si="0"/>
        <v>1.0031267268438344</v>
      </c>
      <c r="U21" s="13">
        <v>44246</v>
      </c>
      <c r="V21" s="27">
        <v>1173.5</v>
      </c>
      <c r="W21" s="22">
        <f t="shared" si="1"/>
        <v>0.99925038754859064</v>
      </c>
      <c r="X21" s="13">
        <v>44488</v>
      </c>
      <c r="Y21" s="27">
        <v>1395.33</v>
      </c>
      <c r="Z21" s="22">
        <f t="shared" si="2"/>
        <v>0.99985667500315867</v>
      </c>
    </row>
    <row r="22" spans="1:26" x14ac:dyDescent="0.35">
      <c r="A22">
        <v>21</v>
      </c>
      <c r="B22" s="6">
        <v>-27249365.74441937</v>
      </c>
      <c r="C22" s="6">
        <v>1317332.2888056184</v>
      </c>
      <c r="D22" s="6">
        <v>1513782.1842759196</v>
      </c>
      <c r="E22" s="6">
        <v>1688020.751940442</v>
      </c>
      <c r="F22" s="6">
        <v>1879846.9017839264</v>
      </c>
      <c r="G22" s="6"/>
      <c r="H22" s="8">
        <v>19</v>
      </c>
      <c r="I22" s="8">
        <v>1.8799999999999999E-3</v>
      </c>
      <c r="J22" s="8">
        <v>1.0300000000000001E-3</v>
      </c>
      <c r="K22" s="8">
        <v>53</v>
      </c>
      <c r="L22" s="8">
        <v>9.1299999999999992E-3</v>
      </c>
      <c r="M22" s="8">
        <v>6.3800000000000003E-3</v>
      </c>
      <c r="N22" s="8">
        <v>87</v>
      </c>
      <c r="O22" s="8">
        <v>0.18573000000000001</v>
      </c>
      <c r="P22" s="8">
        <v>0.15018000000000001</v>
      </c>
      <c r="Q22" s="6"/>
      <c r="R22" s="13">
        <v>44005</v>
      </c>
      <c r="S22" s="27">
        <v>868.2</v>
      </c>
      <c r="T22" s="22">
        <f t="shared" si="0"/>
        <v>0.99645870809806225</v>
      </c>
      <c r="U22" s="13">
        <v>44249</v>
      </c>
      <c r="V22" s="27">
        <v>1175.04</v>
      </c>
      <c r="W22" s="22">
        <f t="shared" si="1"/>
        <v>1.0013114532609382</v>
      </c>
      <c r="X22" s="13">
        <v>44489</v>
      </c>
      <c r="Y22" s="27">
        <v>1393.8</v>
      </c>
      <c r="Z22" s="22">
        <f t="shared" si="2"/>
        <v>0.99890288358486901</v>
      </c>
    </row>
    <row r="23" spans="1:26" x14ac:dyDescent="0.35">
      <c r="A23">
        <v>22</v>
      </c>
      <c r="B23" s="6">
        <v>-26550085.72238386</v>
      </c>
      <c r="C23" s="6">
        <v>1318312.9935294767</v>
      </c>
      <c r="D23" s="6">
        <v>1514507.8747186724</v>
      </c>
      <c r="E23" s="6">
        <v>1689074.5954368748</v>
      </c>
      <c r="F23" s="6">
        <v>1883067.5824521321</v>
      </c>
      <c r="G23" s="6"/>
      <c r="H23" s="8">
        <v>20</v>
      </c>
      <c r="I23" s="8">
        <v>1.9E-3</v>
      </c>
      <c r="J23" s="8">
        <v>1.06E-3</v>
      </c>
      <c r="K23" s="8">
        <v>54</v>
      </c>
      <c r="L23" s="8">
        <v>1.001E-2</v>
      </c>
      <c r="M23" s="8">
        <v>6.8500000000000002E-3</v>
      </c>
      <c r="N23" s="8">
        <v>88</v>
      </c>
      <c r="O23" s="8">
        <v>0.19953000000000001</v>
      </c>
      <c r="P23" s="8">
        <v>0.16538</v>
      </c>
      <c r="Q23" s="6"/>
      <c r="R23" s="13">
        <v>44006</v>
      </c>
      <c r="S23" s="27">
        <v>859.71</v>
      </c>
      <c r="T23" s="22">
        <f t="shared" si="0"/>
        <v>0.99017302021189335</v>
      </c>
      <c r="U23" s="13">
        <v>44250</v>
      </c>
      <c r="V23" s="27">
        <v>1177.6400000000001</v>
      </c>
      <c r="W23" s="22">
        <f t="shared" si="1"/>
        <v>1.002210246237021</v>
      </c>
      <c r="X23" s="13">
        <v>44490</v>
      </c>
      <c r="Y23" s="27">
        <v>1384.77</v>
      </c>
      <c r="Z23" s="22">
        <f t="shared" si="2"/>
        <v>0.99350023084475514</v>
      </c>
    </row>
    <row r="24" spans="1:26" x14ac:dyDescent="0.35">
      <c r="A24">
        <v>23</v>
      </c>
      <c r="B24" s="6">
        <v>-22636859.181881201</v>
      </c>
      <c r="C24" s="6">
        <v>1319537.4997367277</v>
      </c>
      <c r="D24" s="6">
        <v>1517092.8229007523</v>
      </c>
      <c r="E24" s="6">
        <v>1690559.7499471693</v>
      </c>
      <c r="F24" s="6">
        <v>1885588.5863603759</v>
      </c>
      <c r="G24" s="6"/>
      <c r="H24" s="8">
        <v>21</v>
      </c>
      <c r="I24" s="8">
        <v>1.9E-3</v>
      </c>
      <c r="J24" s="8">
        <v>1.08E-3</v>
      </c>
      <c r="K24" s="8">
        <v>55</v>
      </c>
      <c r="L24" s="8">
        <v>1.0959999999999999E-2</v>
      </c>
      <c r="M24" s="8">
        <v>7.3299999999999997E-3</v>
      </c>
      <c r="N24" s="8">
        <v>89</v>
      </c>
      <c r="O24" s="8">
        <v>0.21368999999999999</v>
      </c>
      <c r="P24" s="8">
        <v>0.18154000000000001</v>
      </c>
      <c r="Q24" s="6"/>
      <c r="R24" s="13">
        <v>44007</v>
      </c>
      <c r="S24" s="27">
        <v>854.59</v>
      </c>
      <c r="T24" s="22">
        <f t="shared" si="0"/>
        <v>0.9940266986833135</v>
      </c>
      <c r="U24" s="13">
        <v>44251</v>
      </c>
      <c r="V24" s="27">
        <v>1162.01</v>
      </c>
      <c r="W24" s="22">
        <f t="shared" si="1"/>
        <v>0.98663882843776829</v>
      </c>
      <c r="X24" s="13">
        <v>44491</v>
      </c>
      <c r="Y24" s="27">
        <v>1389.24</v>
      </c>
      <c r="Z24" s="22">
        <f t="shared" si="2"/>
        <v>1.0032227741564639</v>
      </c>
    </row>
    <row r="25" spans="1:26" x14ac:dyDescent="0.35">
      <c r="A25">
        <v>24</v>
      </c>
      <c r="B25" s="6">
        <v>-21811190.984517585</v>
      </c>
      <c r="C25" s="6">
        <v>1319616.5023744011</v>
      </c>
      <c r="D25" s="6">
        <v>1518599.1607673988</v>
      </c>
      <c r="E25" s="6">
        <v>1692314.5497636825</v>
      </c>
      <c r="F25" s="6">
        <v>1886675.9388347596</v>
      </c>
      <c r="G25" s="6"/>
      <c r="H25" s="8">
        <v>22</v>
      </c>
      <c r="I25" s="8">
        <v>1.8799999999999999E-3</v>
      </c>
      <c r="J25" s="8">
        <v>1.1000000000000001E-3</v>
      </c>
      <c r="K25" s="8">
        <v>56</v>
      </c>
      <c r="L25" s="8">
        <v>1.197E-2</v>
      </c>
      <c r="M25" s="8">
        <v>7.7999999999999996E-3</v>
      </c>
      <c r="N25" s="8">
        <v>90</v>
      </c>
      <c r="O25" s="8">
        <v>0.22842000000000001</v>
      </c>
      <c r="P25" s="8">
        <v>0.19885</v>
      </c>
      <c r="Q25" s="6"/>
      <c r="R25" s="13">
        <v>44008</v>
      </c>
      <c r="S25" s="27">
        <v>851.98</v>
      </c>
      <c r="T25" s="22">
        <f t="shared" si="0"/>
        <v>0.9969412306146892</v>
      </c>
      <c r="U25" s="13">
        <v>44252</v>
      </c>
      <c r="V25" s="27">
        <v>1165.43</v>
      </c>
      <c r="W25" s="22">
        <f t="shared" si="1"/>
        <v>1.0029388533852683</v>
      </c>
      <c r="X25" s="13">
        <v>44494</v>
      </c>
      <c r="Y25" s="27">
        <v>1385.4</v>
      </c>
      <c r="Z25" s="22">
        <f t="shared" si="2"/>
        <v>0.99723207158286742</v>
      </c>
    </row>
    <row r="26" spans="1:26" x14ac:dyDescent="0.35">
      <c r="A26">
        <v>25</v>
      </c>
      <c r="B26" s="6">
        <v>-20824143.67349913</v>
      </c>
      <c r="C26" s="6">
        <v>1323325.5465185235</v>
      </c>
      <c r="D26" s="6">
        <v>1519317.130476437</v>
      </c>
      <c r="E26" s="6">
        <v>1692526.4814914386</v>
      </c>
      <c r="F26" s="6">
        <v>1887163.2179596093</v>
      </c>
      <c r="G26" s="6"/>
      <c r="H26" s="8">
        <v>23</v>
      </c>
      <c r="I26" s="8">
        <v>1.8400000000000001E-3</v>
      </c>
      <c r="J26" s="8">
        <v>1.1199999999999999E-3</v>
      </c>
      <c r="K26" s="8">
        <v>57</v>
      </c>
      <c r="L26" s="8">
        <v>1.304E-2</v>
      </c>
      <c r="M26" s="8">
        <v>8.2500000000000004E-3</v>
      </c>
      <c r="N26" s="8">
        <v>91</v>
      </c>
      <c r="O26" s="8">
        <v>0.24410999999999999</v>
      </c>
      <c r="P26" s="8">
        <v>0.21768000000000001</v>
      </c>
      <c r="Q26" s="6"/>
      <c r="R26" s="13">
        <v>44011</v>
      </c>
      <c r="S26" s="27">
        <v>829.36</v>
      </c>
      <c r="T26" s="22">
        <f t="shared" si="0"/>
        <v>0.97309126663946754</v>
      </c>
      <c r="U26" s="13">
        <v>44253</v>
      </c>
      <c r="V26" s="27">
        <v>1168.47</v>
      </c>
      <c r="W26" s="22">
        <f t="shared" si="1"/>
        <v>1.0026050830963074</v>
      </c>
      <c r="X26" s="13">
        <v>44495</v>
      </c>
      <c r="Y26" s="27">
        <v>1391.63</v>
      </c>
      <c r="Z26" s="22">
        <f t="shared" si="2"/>
        <v>1.0044868153758559</v>
      </c>
    </row>
    <row r="27" spans="1:26" x14ac:dyDescent="0.35">
      <c r="A27">
        <v>26</v>
      </c>
      <c r="B27" s="6">
        <v>-20415476.9450402</v>
      </c>
      <c r="C27" s="6">
        <v>1324183.6495375836</v>
      </c>
      <c r="D27" s="6">
        <v>1519406.919920424</v>
      </c>
      <c r="E27" s="6">
        <v>1692728.6298881557</v>
      </c>
      <c r="F27" s="6">
        <v>1888709.3783161659</v>
      </c>
      <c r="G27" s="6"/>
      <c r="H27" s="8">
        <v>24</v>
      </c>
      <c r="I27" s="8">
        <v>1.8E-3</v>
      </c>
      <c r="J27" s="8">
        <v>1.15E-3</v>
      </c>
      <c r="K27" s="8">
        <v>58</v>
      </c>
      <c r="L27" s="8">
        <v>1.418E-2</v>
      </c>
      <c r="M27" s="8">
        <v>8.6999999999999994E-3</v>
      </c>
      <c r="N27" s="8">
        <v>92</v>
      </c>
      <c r="O27" s="8">
        <v>0.26143</v>
      </c>
      <c r="P27" s="8">
        <v>0.23869000000000001</v>
      </c>
      <c r="Q27" s="6"/>
      <c r="R27" s="13">
        <v>44012</v>
      </c>
      <c r="S27" s="27">
        <v>825.11</v>
      </c>
      <c r="T27" s="22">
        <f t="shared" si="0"/>
        <v>0.99486239176505875</v>
      </c>
      <c r="U27" s="13">
        <v>44256</v>
      </c>
      <c r="V27" s="27">
        <v>1186.17</v>
      </c>
      <c r="W27" s="22">
        <f t="shared" si="1"/>
        <v>1.0150344285317119</v>
      </c>
      <c r="X27" s="13">
        <v>44496</v>
      </c>
      <c r="Y27" s="27">
        <v>1423.02</v>
      </c>
      <c r="Z27" s="22">
        <f t="shared" si="2"/>
        <v>1.0223056518404974</v>
      </c>
    </row>
    <row r="28" spans="1:26" x14ac:dyDescent="0.35">
      <c r="A28">
        <v>27</v>
      </c>
      <c r="B28" s="6">
        <v>-20290652.2302249</v>
      </c>
      <c r="C28" s="6">
        <v>1324271.9581251771</v>
      </c>
      <c r="D28" s="6">
        <v>1519410.1675930177</v>
      </c>
      <c r="E28" s="6">
        <v>1693270.8737971776</v>
      </c>
      <c r="F28" s="6">
        <v>1889478.1996516557</v>
      </c>
      <c r="G28" s="6"/>
      <c r="H28" s="8">
        <v>25</v>
      </c>
      <c r="I28" s="8">
        <v>1.75E-3</v>
      </c>
      <c r="J28" s="8">
        <v>1.17E-3</v>
      </c>
      <c r="K28" s="8">
        <v>59</v>
      </c>
      <c r="L28" s="8">
        <v>1.542E-2</v>
      </c>
      <c r="M28" s="8">
        <v>9.1999999999999998E-3</v>
      </c>
      <c r="N28" s="8">
        <v>93</v>
      </c>
      <c r="O28" s="8">
        <v>0.28212999999999999</v>
      </c>
      <c r="P28" s="8">
        <v>0.26340999999999998</v>
      </c>
      <c r="Q28" s="6"/>
      <c r="R28" s="13">
        <v>44013</v>
      </c>
      <c r="S28" s="27">
        <v>843.49</v>
      </c>
      <c r="T28" s="22">
        <f t="shared" si="0"/>
        <v>1.0220313357712798</v>
      </c>
      <c r="U28" s="13">
        <v>44257</v>
      </c>
      <c r="V28" s="27">
        <v>1186.6099999999999</v>
      </c>
      <c r="W28" s="22">
        <f t="shared" si="1"/>
        <v>1.0003708729886827</v>
      </c>
      <c r="X28" s="13">
        <v>44497</v>
      </c>
      <c r="Y28" s="27">
        <v>1438.01</v>
      </c>
      <c r="Z28" s="22">
        <f t="shared" si="2"/>
        <v>1.0104788395548749</v>
      </c>
    </row>
    <row r="29" spans="1:26" x14ac:dyDescent="0.35">
      <c r="A29">
        <v>28</v>
      </c>
      <c r="B29" s="6">
        <v>-19230563.647086076</v>
      </c>
      <c r="C29" s="6">
        <v>1325336.2534362224</v>
      </c>
      <c r="D29" s="6">
        <v>1519481.0807138765</v>
      </c>
      <c r="E29" s="6">
        <v>1693345.6048310646</v>
      </c>
      <c r="F29" s="6">
        <v>1889652.8102553959</v>
      </c>
      <c r="G29" s="6"/>
      <c r="H29" s="8">
        <v>26</v>
      </c>
      <c r="I29" s="8">
        <v>1.72E-3</v>
      </c>
      <c r="J29" s="8">
        <v>1.1999999999999999E-3</v>
      </c>
      <c r="K29" s="8">
        <v>60</v>
      </c>
      <c r="L29" s="8">
        <v>1.6799999999999999E-2</v>
      </c>
      <c r="M29" s="8">
        <v>9.7999999999999997E-3</v>
      </c>
      <c r="N29" s="8">
        <v>94</v>
      </c>
      <c r="O29" s="8">
        <v>0.30997000000000002</v>
      </c>
      <c r="P29" s="8">
        <v>0.29522999999999999</v>
      </c>
      <c r="Q29" s="6"/>
      <c r="R29" s="13">
        <v>44014</v>
      </c>
      <c r="S29" s="27">
        <v>842.38</v>
      </c>
      <c r="T29" s="22">
        <f t="shared" si="0"/>
        <v>0.99868317229632386</v>
      </c>
      <c r="U29" s="13">
        <v>44258</v>
      </c>
      <c r="V29" s="27">
        <v>1186.95</v>
      </c>
      <c r="W29" s="22">
        <f t="shared" si="1"/>
        <v>1.0002864894945362</v>
      </c>
      <c r="X29" s="13">
        <v>44498</v>
      </c>
      <c r="Y29" s="27">
        <v>1444.27</v>
      </c>
      <c r="Z29" s="22">
        <f t="shared" si="2"/>
        <v>1.0043437902237613</v>
      </c>
    </row>
    <row r="30" spans="1:26" x14ac:dyDescent="0.35">
      <c r="A30">
        <v>29</v>
      </c>
      <c r="B30" s="6">
        <v>-18729096.076104835</v>
      </c>
      <c r="C30" s="6">
        <v>1326356.3362430867</v>
      </c>
      <c r="D30" s="6">
        <v>1520563.9226658253</v>
      </c>
      <c r="E30" s="6">
        <v>1694570.2577190129</v>
      </c>
      <c r="F30" s="6">
        <v>1890044.5724224909</v>
      </c>
      <c r="G30" s="6"/>
      <c r="H30" s="8">
        <v>27</v>
      </c>
      <c r="I30" s="8">
        <v>1.7099999999999999E-3</v>
      </c>
      <c r="J30" s="8">
        <v>1.24E-3</v>
      </c>
      <c r="K30" s="8">
        <v>61</v>
      </c>
      <c r="L30" s="8">
        <v>1.8360000000000001E-2</v>
      </c>
      <c r="M30" s="8">
        <v>1.0540000000000001E-2</v>
      </c>
      <c r="N30" s="8">
        <v>95</v>
      </c>
      <c r="O30" s="8">
        <v>0.35186000000000001</v>
      </c>
      <c r="P30" s="8">
        <v>0.34101999999999999</v>
      </c>
      <c r="Q30" s="6"/>
      <c r="R30" s="13">
        <v>44015</v>
      </c>
      <c r="S30" s="27">
        <v>847.61</v>
      </c>
      <c r="T30" s="22">
        <f t="shared" si="0"/>
        <v>1.0061894054949618</v>
      </c>
      <c r="U30" s="13">
        <v>44259</v>
      </c>
      <c r="V30" s="27">
        <v>1168.52</v>
      </c>
      <c r="W30" s="22">
        <f t="shared" si="1"/>
        <v>0.98435099906975743</v>
      </c>
      <c r="X30" s="13">
        <v>44501</v>
      </c>
      <c r="Y30" s="27">
        <v>1438.97</v>
      </c>
      <c r="Z30" s="22">
        <f t="shared" si="2"/>
        <v>0.996323576275575</v>
      </c>
    </row>
    <row r="31" spans="1:26" x14ac:dyDescent="0.35">
      <c r="A31">
        <v>30</v>
      </c>
      <c r="B31" s="6">
        <v>-16597193.660757462</v>
      </c>
      <c r="C31" s="6">
        <v>1326976.9396775684</v>
      </c>
      <c r="D31" s="6">
        <v>1520582.7512030872</v>
      </c>
      <c r="E31" s="6">
        <v>1694663.8439218593</v>
      </c>
      <c r="F31" s="6">
        <v>1890979.1928862683</v>
      </c>
      <c r="G31" s="6"/>
      <c r="H31" s="8">
        <v>28</v>
      </c>
      <c r="I31" s="8">
        <v>1.6999999999999999E-3</v>
      </c>
      <c r="J31" s="8">
        <v>1.2800000000000001E-3</v>
      </c>
      <c r="K31" s="8">
        <v>62</v>
      </c>
      <c r="L31" s="8">
        <v>2.0119999999999999E-2</v>
      </c>
      <c r="M31" s="8">
        <v>1.149E-2</v>
      </c>
      <c r="N31" s="8">
        <v>96</v>
      </c>
      <c r="O31" s="8">
        <v>0.42098999999999998</v>
      </c>
      <c r="P31" s="8">
        <v>0.41388000000000003</v>
      </c>
      <c r="Q31" s="6"/>
      <c r="R31" s="13">
        <v>44018</v>
      </c>
      <c r="S31" s="27">
        <v>861.16</v>
      </c>
      <c r="T31" s="22">
        <f t="shared" si="0"/>
        <v>1.0158596932506472</v>
      </c>
      <c r="U31" s="13">
        <v>44260</v>
      </c>
      <c r="V31" s="27">
        <v>1168.69</v>
      </c>
      <c r="W31" s="22">
        <f t="shared" si="1"/>
        <v>1.0001454725936478</v>
      </c>
      <c r="X31" s="13">
        <v>44502</v>
      </c>
      <c r="Y31" s="27">
        <v>1452.46</v>
      </c>
      <c r="Z31" s="22">
        <f t="shared" si="2"/>
        <v>1.0093310907614654</v>
      </c>
    </row>
    <row r="32" spans="1:26" x14ac:dyDescent="0.35">
      <c r="A32">
        <v>31</v>
      </c>
      <c r="B32" s="6">
        <v>-15515822.232305087</v>
      </c>
      <c r="C32" s="6">
        <v>1327587.9271756583</v>
      </c>
      <c r="D32" s="6">
        <v>1520666.4731948546</v>
      </c>
      <c r="E32" s="6">
        <v>1696919.1036043938</v>
      </c>
      <c r="F32" s="6">
        <v>1891632.2046583861</v>
      </c>
      <c r="G32" s="6"/>
      <c r="H32" s="8">
        <v>29</v>
      </c>
      <c r="I32" s="8">
        <v>1.72E-3</v>
      </c>
      <c r="J32" s="8">
        <v>1.32E-3</v>
      </c>
      <c r="K32" s="8">
        <v>63</v>
      </c>
      <c r="L32" s="8">
        <v>2.2089999999999999E-2</v>
      </c>
      <c r="M32" s="8">
        <v>1.2630000000000001E-2</v>
      </c>
      <c r="N32" s="8">
        <v>97</v>
      </c>
      <c r="O32" s="8">
        <v>0.54100000000000004</v>
      </c>
      <c r="P32" s="8">
        <v>0.53724000000000005</v>
      </c>
      <c r="Q32" s="6"/>
      <c r="R32" s="13">
        <v>44019</v>
      </c>
      <c r="S32" s="27">
        <v>863.42</v>
      </c>
      <c r="T32" s="22">
        <f t="shared" si="0"/>
        <v>1.0026209294943842</v>
      </c>
      <c r="U32" s="13">
        <v>44263</v>
      </c>
      <c r="V32" s="27">
        <v>1168.27</v>
      </c>
      <c r="W32" s="22">
        <f t="shared" si="1"/>
        <v>0.99964055867064738</v>
      </c>
      <c r="X32" s="13">
        <v>44503</v>
      </c>
      <c r="Y32" s="27">
        <v>1444.3</v>
      </c>
      <c r="Z32" s="22">
        <f t="shared" si="2"/>
        <v>0.99436610448658624</v>
      </c>
    </row>
    <row r="33" spans="1:26" x14ac:dyDescent="0.35">
      <c r="A33">
        <v>32</v>
      </c>
      <c r="B33" s="6">
        <v>-15406240.396846313</v>
      </c>
      <c r="C33" s="6">
        <v>1327787.6027248602</v>
      </c>
      <c r="D33" s="6">
        <v>1520691.987486332</v>
      </c>
      <c r="E33" s="6">
        <v>1696979.553387841</v>
      </c>
      <c r="F33" s="6">
        <v>1892010.9683998339</v>
      </c>
      <c r="G33" s="6"/>
      <c r="H33" s="8">
        <v>30</v>
      </c>
      <c r="I33" s="8">
        <v>1.75E-3</v>
      </c>
      <c r="J33" s="8">
        <v>1.3699999999999999E-3</v>
      </c>
      <c r="K33" s="8">
        <v>64</v>
      </c>
      <c r="L33" s="8">
        <v>2.427E-2</v>
      </c>
      <c r="M33" s="8">
        <v>1.392E-2</v>
      </c>
      <c r="N33" s="8">
        <v>98</v>
      </c>
      <c r="O33" s="8">
        <v>0.74514999999999998</v>
      </c>
      <c r="P33" s="8">
        <v>0.74395999999999995</v>
      </c>
      <c r="Q33" s="6"/>
      <c r="R33" s="13">
        <v>44020</v>
      </c>
      <c r="S33" s="27">
        <v>864.5</v>
      </c>
      <c r="T33" s="22">
        <f t="shared" si="0"/>
        <v>1.0012500580358328</v>
      </c>
      <c r="U33" s="13">
        <v>44264</v>
      </c>
      <c r="V33" s="27">
        <v>1161.97</v>
      </c>
      <c r="W33" s="22">
        <f t="shared" si="1"/>
        <v>0.99459281846527492</v>
      </c>
      <c r="X33" s="13">
        <v>44504</v>
      </c>
      <c r="Y33" s="27">
        <v>1448.34</v>
      </c>
      <c r="Z33" s="22">
        <f t="shared" si="2"/>
        <v>1.0027932979056127</v>
      </c>
    </row>
    <row r="34" spans="1:26" x14ac:dyDescent="0.35">
      <c r="A34">
        <v>33</v>
      </c>
      <c r="B34" s="6">
        <v>-15234293.821221456</v>
      </c>
      <c r="C34" s="6">
        <v>1329047.4265546566</v>
      </c>
      <c r="D34" s="6">
        <v>1520775.5577949199</v>
      </c>
      <c r="E34" s="6">
        <v>1698390.2550364251</v>
      </c>
      <c r="F34" s="6">
        <v>1892263.6101113963</v>
      </c>
      <c r="G34" s="6"/>
      <c r="H34" s="8">
        <v>31</v>
      </c>
      <c r="I34" s="8">
        <v>1.8E-3</v>
      </c>
      <c r="J34" s="8">
        <v>1.42E-3</v>
      </c>
      <c r="K34" s="8">
        <v>65</v>
      </c>
      <c r="L34" s="8">
        <v>2.6620000000000001E-2</v>
      </c>
      <c r="M34" s="8">
        <v>1.529E-2</v>
      </c>
      <c r="N34" s="8">
        <v>99</v>
      </c>
      <c r="O34" s="8">
        <v>1</v>
      </c>
      <c r="P34" s="8">
        <v>1</v>
      </c>
      <c r="Q34" s="6"/>
      <c r="R34" s="13">
        <v>44021</v>
      </c>
      <c r="S34" s="27">
        <v>876.46</v>
      </c>
      <c r="T34" s="22">
        <f t="shared" si="0"/>
        <v>1.0137397621441064</v>
      </c>
      <c r="U34" s="13">
        <v>44265</v>
      </c>
      <c r="V34" s="27">
        <v>1170.08</v>
      </c>
      <c r="W34" s="22">
        <f t="shared" si="1"/>
        <v>1.0069552820000012</v>
      </c>
      <c r="X34" s="13">
        <v>44505</v>
      </c>
      <c r="Y34" s="27">
        <v>1456.51</v>
      </c>
      <c r="Z34" s="22">
        <f t="shared" si="2"/>
        <v>1.0056250901373023</v>
      </c>
    </row>
    <row r="35" spans="1:26" x14ac:dyDescent="0.35">
      <c r="A35">
        <v>34</v>
      </c>
      <c r="B35" s="6">
        <v>-15034952.10832049</v>
      </c>
      <c r="C35" s="6">
        <v>1331762.5354272195</v>
      </c>
      <c r="D35" s="6">
        <v>1521042.9032105687</v>
      </c>
      <c r="E35" s="6">
        <v>1700609.0201157038</v>
      </c>
      <c r="F35" s="6">
        <v>1894091.3120131651</v>
      </c>
      <c r="G35" s="6"/>
      <c r="H35" s="8">
        <v>32</v>
      </c>
      <c r="I35" s="8">
        <v>1.8699999999999999E-3</v>
      </c>
      <c r="J35" s="8">
        <v>1.47E-3</v>
      </c>
      <c r="K35" s="8">
        <v>66</v>
      </c>
      <c r="L35" s="8">
        <v>2.913E-2</v>
      </c>
      <c r="M35" s="8">
        <v>1.6709999999999999E-2</v>
      </c>
      <c r="Q35" s="6"/>
      <c r="R35" s="13">
        <v>44022</v>
      </c>
      <c r="S35" s="27">
        <v>871.21</v>
      </c>
      <c r="T35" s="22">
        <f t="shared" si="0"/>
        <v>0.99399198270599209</v>
      </c>
      <c r="U35" s="13">
        <v>44266</v>
      </c>
      <c r="V35" s="27">
        <v>1181.73</v>
      </c>
      <c r="W35" s="22">
        <f t="shared" si="1"/>
        <v>1.0099073439541806</v>
      </c>
      <c r="X35" s="13">
        <v>44508</v>
      </c>
      <c r="Y35" s="27">
        <v>1467.57</v>
      </c>
      <c r="Z35" s="22">
        <f t="shared" si="2"/>
        <v>1.0075648085849562</v>
      </c>
    </row>
    <row r="36" spans="1:26" x14ac:dyDescent="0.35">
      <c r="A36">
        <v>35</v>
      </c>
      <c r="B36" s="6">
        <v>-14490743.572134133</v>
      </c>
      <c r="C36" s="6">
        <v>1336911.4837894693</v>
      </c>
      <c r="D36" s="6">
        <v>1521604.9321424009</v>
      </c>
      <c r="E36" s="6">
        <v>1701043.2893353906</v>
      </c>
      <c r="F36" s="6">
        <v>1894653.6835998464</v>
      </c>
      <c r="G36" s="6"/>
      <c r="H36" s="8">
        <v>33</v>
      </c>
      <c r="I36" s="8">
        <v>1.9499999999999999E-3</v>
      </c>
      <c r="J36" s="8">
        <v>1.5399999999999999E-3</v>
      </c>
      <c r="K36" s="8">
        <v>67</v>
      </c>
      <c r="L36" s="8">
        <v>3.1789999999999999E-2</v>
      </c>
      <c r="M36" s="8">
        <v>1.813E-2</v>
      </c>
      <c r="Q36" s="6"/>
      <c r="R36" s="13">
        <v>44025</v>
      </c>
      <c r="S36" s="27">
        <v>868.72</v>
      </c>
      <c r="T36" s="22">
        <f t="shared" ref="T36:T67" si="3">LN(S36/S35)+1</f>
        <v>0.99713781393520151</v>
      </c>
      <c r="U36" s="13">
        <v>44267</v>
      </c>
      <c r="V36" s="27">
        <v>1181.56</v>
      </c>
      <c r="W36" s="22">
        <f t="shared" ref="W36:W67" si="4">LN(V36/V35)+1</f>
        <v>0.99985613276382224</v>
      </c>
      <c r="X36" s="13">
        <v>44509</v>
      </c>
      <c r="Y36" s="27">
        <v>1461.5</v>
      </c>
      <c r="Z36" s="22">
        <f t="shared" ref="Z36:Z54" si="5">LN(Y36/Y35)+1</f>
        <v>0.99585533381630842</v>
      </c>
    </row>
    <row r="37" spans="1:26" x14ac:dyDescent="0.35">
      <c r="A37">
        <v>36</v>
      </c>
      <c r="B37" s="6">
        <v>-12407260.314137656</v>
      </c>
      <c r="C37" s="6">
        <v>1337171.9437188061</v>
      </c>
      <c r="D37" s="6">
        <v>1523190.931258352</v>
      </c>
      <c r="E37" s="6">
        <v>1701857.4750078847</v>
      </c>
      <c r="F37" s="6">
        <v>1895326.0554334193</v>
      </c>
      <c r="G37" s="6"/>
      <c r="Q37" s="6"/>
      <c r="R37" s="13">
        <v>44026</v>
      </c>
      <c r="S37" s="27">
        <v>868.11</v>
      </c>
      <c r="T37" s="22">
        <f t="shared" si="3"/>
        <v>0.99929757083297555</v>
      </c>
      <c r="U37" s="13">
        <v>44270</v>
      </c>
      <c r="V37" s="27">
        <v>1184.56</v>
      </c>
      <c r="W37" s="22">
        <f t="shared" si="4"/>
        <v>1.0025357983598195</v>
      </c>
      <c r="X37" s="13">
        <v>44510</v>
      </c>
      <c r="Y37" s="27">
        <v>1465.02</v>
      </c>
      <c r="Z37" s="22">
        <f t="shared" si="5"/>
        <v>1.0024055886838141</v>
      </c>
    </row>
    <row r="38" spans="1:26" x14ac:dyDescent="0.35">
      <c r="A38">
        <v>37</v>
      </c>
      <c r="B38" s="6">
        <v>-11737726.140391748</v>
      </c>
      <c r="C38" s="6">
        <v>1337406.5767262315</v>
      </c>
      <c r="D38" s="6">
        <v>1523307.8749045786</v>
      </c>
      <c r="E38" s="6">
        <v>1701955.0679414039</v>
      </c>
      <c r="F38" s="6">
        <v>1900213.7483161227</v>
      </c>
      <c r="G38" s="6"/>
      <c r="Q38" s="6"/>
      <c r="R38" s="13">
        <v>44027</v>
      </c>
      <c r="S38" s="27">
        <v>869.91</v>
      </c>
      <c r="T38" s="22">
        <f t="shared" si="3"/>
        <v>1.0020713232800049</v>
      </c>
      <c r="U38" s="13">
        <v>44271</v>
      </c>
      <c r="V38" s="27">
        <v>1179.9000000000001</v>
      </c>
      <c r="W38" s="22">
        <f t="shared" si="4"/>
        <v>0.99605829150541025</v>
      </c>
      <c r="X38" s="13">
        <v>44511</v>
      </c>
      <c r="Y38" s="27">
        <v>1462.35</v>
      </c>
      <c r="Z38" s="22">
        <f t="shared" si="5"/>
        <v>0.99817583650827535</v>
      </c>
    </row>
    <row r="39" spans="1:26" x14ac:dyDescent="0.35">
      <c r="A39">
        <v>38</v>
      </c>
      <c r="B39" s="6">
        <v>-11452077.418961558</v>
      </c>
      <c r="C39" s="6">
        <v>1338797.4048932311</v>
      </c>
      <c r="D39" s="6">
        <v>1523858.1223377297</v>
      </c>
      <c r="E39" s="6">
        <v>1702893.4647326341</v>
      </c>
      <c r="F39" s="6">
        <v>1900371.4302706032</v>
      </c>
      <c r="G39" s="6"/>
      <c r="Q39" s="6"/>
      <c r="R39" s="13">
        <v>44028</v>
      </c>
      <c r="S39" s="27">
        <v>876.83</v>
      </c>
      <c r="T39" s="22">
        <f t="shared" si="3"/>
        <v>1.0079233729152621</v>
      </c>
      <c r="U39" s="13">
        <v>44272</v>
      </c>
      <c r="V39" s="27">
        <v>1186.0899999999999</v>
      </c>
      <c r="W39" s="22">
        <f t="shared" si="4"/>
        <v>1.0052324939014876</v>
      </c>
      <c r="X39" s="13">
        <v>44512</v>
      </c>
      <c r="Y39" s="27">
        <v>1473.37</v>
      </c>
      <c r="Z39" s="22">
        <f t="shared" si="5"/>
        <v>1.0075075632283987</v>
      </c>
    </row>
    <row r="40" spans="1:26" x14ac:dyDescent="0.35">
      <c r="A40">
        <v>39</v>
      </c>
      <c r="B40" s="6">
        <v>-10917166.198146915</v>
      </c>
      <c r="C40" s="6">
        <v>1339397.3621535157</v>
      </c>
      <c r="D40" s="6">
        <v>1524713.3800036246</v>
      </c>
      <c r="E40" s="6">
        <v>1703465.6305744634</v>
      </c>
      <c r="F40" s="6">
        <v>1900571.50850797</v>
      </c>
      <c r="G40" s="6"/>
      <c r="Q40" s="6"/>
      <c r="R40" s="13">
        <v>44029</v>
      </c>
      <c r="S40" s="27">
        <v>872.02</v>
      </c>
      <c r="T40" s="22">
        <f t="shared" si="3"/>
        <v>0.99449922848888794</v>
      </c>
      <c r="U40" s="13">
        <v>44273</v>
      </c>
      <c r="V40" s="27">
        <v>1200.94</v>
      </c>
      <c r="W40" s="22">
        <f t="shared" si="4"/>
        <v>1.0124424004566348</v>
      </c>
      <c r="X40" s="13">
        <v>44515</v>
      </c>
      <c r="Y40" s="27">
        <v>1476.57</v>
      </c>
      <c r="Z40" s="22">
        <f t="shared" si="5"/>
        <v>1.0021695365025527</v>
      </c>
    </row>
    <row r="41" spans="1:26" x14ac:dyDescent="0.35">
      <c r="A41">
        <v>40</v>
      </c>
      <c r="B41" s="6">
        <v>-9881262.7683912124</v>
      </c>
      <c r="C41" s="6">
        <v>1339858.0838659341</v>
      </c>
      <c r="D41" s="6">
        <v>1528159.8243914708</v>
      </c>
      <c r="E41" s="6">
        <v>1705146.6448007198</v>
      </c>
      <c r="F41" s="6">
        <v>1901648.633940856</v>
      </c>
      <c r="G41" s="6"/>
      <c r="Q41" s="6"/>
      <c r="R41" s="13">
        <v>44032</v>
      </c>
      <c r="S41" s="27">
        <v>861.4</v>
      </c>
      <c r="T41" s="22">
        <f t="shared" si="3"/>
        <v>0.98774661319423496</v>
      </c>
      <c r="U41" s="13">
        <v>44274</v>
      </c>
      <c r="V41" s="27">
        <v>1194.05</v>
      </c>
      <c r="W41" s="22">
        <f t="shared" si="4"/>
        <v>0.99424630665867531</v>
      </c>
      <c r="X41" s="13">
        <v>44516</v>
      </c>
      <c r="Y41" s="27">
        <v>1466.45</v>
      </c>
      <c r="Z41" s="22">
        <f t="shared" si="5"/>
        <v>0.99312268357842559</v>
      </c>
    </row>
    <row r="42" spans="1:26" x14ac:dyDescent="0.35">
      <c r="A42">
        <v>41</v>
      </c>
      <c r="B42" s="6">
        <v>-9669992.6557236016</v>
      </c>
      <c r="C42" s="6">
        <v>1340172.5096771047</v>
      </c>
      <c r="D42" s="6">
        <v>1528673.3585349948</v>
      </c>
      <c r="E42" s="6">
        <v>1705791.6228731279</v>
      </c>
      <c r="F42" s="6">
        <v>1901717.4177630302</v>
      </c>
      <c r="G42" s="6"/>
      <c r="Q42" s="6"/>
      <c r="R42" s="13">
        <v>44033</v>
      </c>
      <c r="S42" s="27">
        <v>861.69</v>
      </c>
      <c r="T42" s="22">
        <f t="shared" si="3"/>
        <v>1.000336604591447</v>
      </c>
      <c r="U42" s="13">
        <v>44277</v>
      </c>
      <c r="V42" s="27">
        <v>1194.43</v>
      </c>
      <c r="W42" s="22">
        <f t="shared" si="4"/>
        <v>1.0003181940005412</v>
      </c>
      <c r="X42" s="13">
        <v>44517</v>
      </c>
      <c r="Y42" s="27">
        <v>1475.85</v>
      </c>
      <c r="Z42" s="22">
        <f t="shared" si="5"/>
        <v>1.0063895809271168</v>
      </c>
    </row>
    <row r="43" spans="1:26" x14ac:dyDescent="0.35">
      <c r="A43">
        <v>42</v>
      </c>
      <c r="B43" s="6">
        <v>-9236297.4968241099</v>
      </c>
      <c r="C43" s="6">
        <v>1340486.1406375309</v>
      </c>
      <c r="D43" s="6">
        <v>1529234.7084986658</v>
      </c>
      <c r="E43" s="6">
        <v>1706545.1098007674</v>
      </c>
      <c r="F43" s="6">
        <v>1903953.2105098024</v>
      </c>
      <c r="G43" s="6"/>
      <c r="Q43" s="6"/>
      <c r="R43" s="13">
        <v>44034</v>
      </c>
      <c r="S43" s="27">
        <v>855.08</v>
      </c>
      <c r="T43" s="22">
        <f t="shared" si="3"/>
        <v>0.99229945459962277</v>
      </c>
      <c r="U43" s="13">
        <v>44278</v>
      </c>
      <c r="V43" s="27">
        <v>1183.45</v>
      </c>
      <c r="W43" s="22">
        <f t="shared" si="4"/>
        <v>0.99076481736760769</v>
      </c>
      <c r="X43" s="13">
        <v>44518</v>
      </c>
      <c r="Y43" s="27">
        <v>1469.83</v>
      </c>
      <c r="Z43" s="22">
        <f t="shared" si="5"/>
        <v>0.99591265284685027</v>
      </c>
    </row>
    <row r="44" spans="1:26" x14ac:dyDescent="0.35">
      <c r="A44">
        <v>43</v>
      </c>
      <c r="B44" s="6">
        <v>-8836286.7950983793</v>
      </c>
      <c r="C44" s="6">
        <v>1341716.5848645712</v>
      </c>
      <c r="D44" s="6">
        <v>1530471.3840792435</v>
      </c>
      <c r="E44" s="6">
        <v>1706671.814405984</v>
      </c>
      <c r="F44" s="6">
        <v>1904667.4940221831</v>
      </c>
      <c r="G44" s="6"/>
      <c r="Q44" s="6"/>
      <c r="R44" s="13">
        <v>44035</v>
      </c>
      <c r="S44" s="27">
        <v>856.75</v>
      </c>
      <c r="T44" s="22">
        <f t="shared" si="3"/>
        <v>1.001951128943638</v>
      </c>
      <c r="U44" s="13">
        <v>44279</v>
      </c>
      <c r="V44" s="27">
        <v>1161.81</v>
      </c>
      <c r="W44" s="22">
        <f t="shared" si="4"/>
        <v>0.98154523236401703</v>
      </c>
      <c r="X44" s="13">
        <v>44519</v>
      </c>
      <c r="Y44" s="27">
        <v>1452.35</v>
      </c>
      <c r="Z44" s="22">
        <f t="shared" si="5"/>
        <v>0.98803618634284296</v>
      </c>
    </row>
    <row r="45" spans="1:26" x14ac:dyDescent="0.35">
      <c r="A45">
        <v>44</v>
      </c>
      <c r="B45" s="6">
        <v>-8766891.0122733712</v>
      </c>
      <c r="C45" s="6">
        <v>1343023.2912654562</v>
      </c>
      <c r="D45" s="6">
        <v>1531860.974221231</v>
      </c>
      <c r="E45" s="6">
        <v>1707598.3050648354</v>
      </c>
      <c r="F45" s="6">
        <v>1905167.9063459598</v>
      </c>
      <c r="G45" s="6"/>
      <c r="Q45" s="6"/>
      <c r="R45" s="13">
        <v>44036</v>
      </c>
      <c r="S45" s="27">
        <v>829.16</v>
      </c>
      <c r="T45" s="22">
        <f t="shared" si="3"/>
        <v>0.96726697937659234</v>
      </c>
      <c r="U45" s="13">
        <v>44280</v>
      </c>
      <c r="V45" s="27">
        <v>1163.0999999999999</v>
      </c>
      <c r="W45" s="22">
        <f t="shared" si="4"/>
        <v>1.0011097204901558</v>
      </c>
      <c r="X45" s="13">
        <v>44522</v>
      </c>
      <c r="Y45" s="27">
        <v>1447.25</v>
      </c>
      <c r="Z45" s="22">
        <f t="shared" si="5"/>
        <v>0.99648226978953669</v>
      </c>
    </row>
    <row r="46" spans="1:26" x14ac:dyDescent="0.35">
      <c r="A46">
        <v>45</v>
      </c>
      <c r="B46" s="6">
        <v>-8376918.310766439</v>
      </c>
      <c r="C46" s="6">
        <v>1344498.6691987857</v>
      </c>
      <c r="D46" s="6">
        <v>1532406.419729349</v>
      </c>
      <c r="E46" s="6">
        <v>1708363.3703578752</v>
      </c>
      <c r="F46" s="6">
        <v>1905951.3258113456</v>
      </c>
      <c r="G46" s="6"/>
      <c r="Q46" s="6"/>
      <c r="R46" s="13">
        <v>44039</v>
      </c>
      <c r="S46" s="27">
        <v>785.17</v>
      </c>
      <c r="T46" s="22">
        <f t="shared" si="3"/>
        <v>0.94548711471480984</v>
      </c>
      <c r="U46" s="13">
        <v>44281</v>
      </c>
      <c r="V46" s="27">
        <v>1162.21</v>
      </c>
      <c r="W46" s="22">
        <f t="shared" si="4"/>
        <v>0.99923451063001534</v>
      </c>
      <c r="X46" s="13">
        <v>44523</v>
      </c>
      <c r="Y46" s="27">
        <v>1463.63</v>
      </c>
      <c r="Z46" s="22">
        <f t="shared" si="5"/>
        <v>1.0112544473795313</v>
      </c>
    </row>
    <row r="47" spans="1:26" x14ac:dyDescent="0.35">
      <c r="A47">
        <v>46</v>
      </c>
      <c r="B47" s="6">
        <v>-8206077.248159823</v>
      </c>
      <c r="C47" s="6">
        <v>1344561.0989993745</v>
      </c>
      <c r="D47" s="6">
        <v>1533190.2285384578</v>
      </c>
      <c r="E47" s="6">
        <v>1708397.847205518</v>
      </c>
      <c r="F47" s="6">
        <v>1906794.1688097422</v>
      </c>
      <c r="G47" s="6"/>
      <c r="Q47" s="6"/>
      <c r="R47" s="13">
        <v>44040</v>
      </c>
      <c r="S47" s="27">
        <v>813.36</v>
      </c>
      <c r="T47" s="22">
        <f t="shared" si="3"/>
        <v>1.0352735611207855</v>
      </c>
      <c r="U47" s="13">
        <v>44284</v>
      </c>
      <c r="V47" s="27">
        <v>1175.68</v>
      </c>
      <c r="W47" s="22">
        <f t="shared" si="4"/>
        <v>1.011523338611698</v>
      </c>
      <c r="X47" s="13">
        <v>44524</v>
      </c>
      <c r="Y47" s="27">
        <v>1488.87</v>
      </c>
      <c r="Z47" s="22">
        <f t="shared" si="5"/>
        <v>1.0170977916164987</v>
      </c>
    </row>
    <row r="48" spans="1:26" x14ac:dyDescent="0.35">
      <c r="A48">
        <v>47</v>
      </c>
      <c r="B48" s="6">
        <v>-8072344.9085458554</v>
      </c>
      <c r="C48" s="6">
        <v>1345342.8392844815</v>
      </c>
      <c r="D48" s="6">
        <v>1534008.8575764115</v>
      </c>
      <c r="E48" s="6">
        <v>1709008.7141604894</v>
      </c>
      <c r="F48" s="6">
        <v>1907131.4727478009</v>
      </c>
      <c r="G48" s="6"/>
      <c r="Q48" s="6"/>
      <c r="R48" s="13">
        <v>44041</v>
      </c>
      <c r="S48" s="27">
        <v>790.84</v>
      </c>
      <c r="T48" s="22">
        <f t="shared" si="3"/>
        <v>0.97192185573977419</v>
      </c>
      <c r="U48" s="13">
        <v>44285</v>
      </c>
      <c r="V48" s="27">
        <v>1186.3599999999999</v>
      </c>
      <c r="W48" s="22">
        <f t="shared" si="4"/>
        <v>1.0090430922269655</v>
      </c>
      <c r="X48" s="13">
        <v>44525</v>
      </c>
      <c r="Y48" s="27">
        <v>1500.81</v>
      </c>
      <c r="Z48" s="22">
        <f t="shared" si="5"/>
        <v>1.0079875193876242</v>
      </c>
    </row>
    <row r="49" spans="1:26" x14ac:dyDescent="0.35">
      <c r="A49">
        <v>48</v>
      </c>
      <c r="B49" s="6">
        <v>-6990449.2903459314</v>
      </c>
      <c r="C49" s="6">
        <v>1348641.1981086638</v>
      </c>
      <c r="D49" s="6">
        <v>1534335.0783974295</v>
      </c>
      <c r="E49" s="6">
        <v>1710517.386779469</v>
      </c>
      <c r="F49" s="6">
        <v>1910098.5388335758</v>
      </c>
      <c r="G49" s="6"/>
      <c r="Q49" s="6"/>
      <c r="R49" s="13">
        <v>44042</v>
      </c>
      <c r="S49" s="27">
        <v>801.13</v>
      </c>
      <c r="T49" s="22">
        <f t="shared" si="3"/>
        <v>1.0129275593215146</v>
      </c>
      <c r="U49" s="13">
        <v>44286</v>
      </c>
      <c r="V49" s="27">
        <v>1191.44</v>
      </c>
      <c r="W49" s="22">
        <f t="shared" si="4"/>
        <v>1.0042728637639404</v>
      </c>
      <c r="X49" s="13">
        <v>44526</v>
      </c>
      <c r="Y49" s="27">
        <v>1493.03</v>
      </c>
      <c r="Z49" s="22">
        <f t="shared" si="5"/>
        <v>0.99480264976547617</v>
      </c>
    </row>
    <row r="50" spans="1:26" x14ac:dyDescent="0.35">
      <c r="A50">
        <v>49</v>
      </c>
      <c r="B50" s="6">
        <v>-6890721.4078908311</v>
      </c>
      <c r="C50" s="6">
        <v>1350216.794523472</v>
      </c>
      <c r="D50" s="6">
        <v>1535260.9317903786</v>
      </c>
      <c r="E50" s="6">
        <v>1710549.7089061765</v>
      </c>
      <c r="F50" s="6">
        <v>1910259.1801841529</v>
      </c>
      <c r="G50" s="6"/>
      <c r="Q50" s="6"/>
      <c r="R50" s="13">
        <v>44043</v>
      </c>
      <c r="S50" s="27">
        <v>798.39</v>
      </c>
      <c r="T50" s="22">
        <f t="shared" si="3"/>
        <v>0.99657396884052052</v>
      </c>
      <c r="U50" s="13">
        <v>44287</v>
      </c>
      <c r="V50" s="27">
        <v>1216.0999999999999</v>
      </c>
      <c r="W50" s="22">
        <f t="shared" si="4"/>
        <v>1.0204863574093415</v>
      </c>
      <c r="X50" s="13">
        <v>44529</v>
      </c>
      <c r="Y50" s="27">
        <v>1484.84</v>
      </c>
      <c r="Z50" s="22">
        <f t="shared" si="5"/>
        <v>0.99449941021599819</v>
      </c>
    </row>
    <row r="51" spans="1:26" x14ac:dyDescent="0.35">
      <c r="A51">
        <v>50</v>
      </c>
      <c r="B51" s="6">
        <v>-6637325.4141795961</v>
      </c>
      <c r="C51" s="6">
        <v>1354159.5080492466</v>
      </c>
      <c r="D51" s="6">
        <v>1536052.2758888439</v>
      </c>
      <c r="E51" s="6">
        <v>1710648.3934672619</v>
      </c>
      <c r="F51" s="6">
        <v>1911026.7668407124</v>
      </c>
      <c r="R51" s="13">
        <v>44046</v>
      </c>
      <c r="S51" s="27">
        <v>814.65</v>
      </c>
      <c r="T51" s="22">
        <f t="shared" si="3"/>
        <v>1.020161373280249</v>
      </c>
      <c r="U51" s="13">
        <v>44288</v>
      </c>
      <c r="V51" s="27">
        <v>1224.45</v>
      </c>
      <c r="W51" s="22">
        <f t="shared" si="4"/>
        <v>1.0068427465785208</v>
      </c>
      <c r="X51" s="13">
        <v>44530</v>
      </c>
      <c r="Y51" s="27">
        <v>1478.44</v>
      </c>
      <c r="Z51" s="22">
        <f t="shared" si="5"/>
        <v>0.99568045547421913</v>
      </c>
    </row>
    <row r="52" spans="1:26" x14ac:dyDescent="0.35">
      <c r="A52">
        <v>51</v>
      </c>
      <c r="B52" s="6">
        <v>-5847085.4143827111</v>
      </c>
      <c r="C52" s="6">
        <v>1354892.9202430472</v>
      </c>
      <c r="D52" s="6">
        <v>1538088.2432105173</v>
      </c>
      <c r="E52" s="6">
        <v>1713155.8827320004</v>
      </c>
      <c r="F52" s="6">
        <v>1911250.8335470876</v>
      </c>
      <c r="R52" s="13">
        <v>44047</v>
      </c>
      <c r="S52" s="27">
        <v>827.57</v>
      </c>
      <c r="T52" s="22">
        <f t="shared" si="3"/>
        <v>1.0157351226695555</v>
      </c>
      <c r="U52" s="13">
        <v>44291</v>
      </c>
      <c r="V52" s="27">
        <v>1236.05</v>
      </c>
      <c r="W52" s="22">
        <f t="shared" si="4"/>
        <v>1.0094290477083914</v>
      </c>
      <c r="X52" s="13">
        <v>44531</v>
      </c>
      <c r="Y52" s="27">
        <v>1485.19</v>
      </c>
      <c r="Z52" s="22">
        <f t="shared" si="5"/>
        <v>1.0045552323818769</v>
      </c>
    </row>
    <row r="53" spans="1:26" x14ac:dyDescent="0.35">
      <c r="A53">
        <v>52</v>
      </c>
      <c r="B53" s="6">
        <v>-4972565.8015170265</v>
      </c>
      <c r="C53" s="6">
        <v>1356439.4117274713</v>
      </c>
      <c r="D53" s="6">
        <v>1538189.3598645807</v>
      </c>
      <c r="E53" s="6">
        <v>1713916.5075492577</v>
      </c>
      <c r="F53" s="6">
        <v>1911255.2754608907</v>
      </c>
      <c r="R53" s="13">
        <v>44048</v>
      </c>
      <c r="S53" s="27">
        <v>837.8</v>
      </c>
      <c r="T53" s="22">
        <f t="shared" si="3"/>
        <v>1.0122857126944149</v>
      </c>
      <c r="U53" s="13">
        <v>44292</v>
      </c>
      <c r="V53" s="27">
        <v>1239.96</v>
      </c>
      <c r="W53" s="22">
        <f t="shared" si="4"/>
        <v>1.0031583097403978</v>
      </c>
      <c r="X53" s="13">
        <v>44532</v>
      </c>
      <c r="Y53" s="27">
        <v>1482.05</v>
      </c>
      <c r="Z53" s="22">
        <f t="shared" si="5"/>
        <v>0.99788355429820663</v>
      </c>
    </row>
    <row r="54" spans="1:26" x14ac:dyDescent="0.35">
      <c r="A54">
        <v>53</v>
      </c>
      <c r="B54" s="6">
        <v>-4632474.4625713276</v>
      </c>
      <c r="C54" s="6">
        <v>1356806.7175541152</v>
      </c>
      <c r="D54" s="6">
        <v>1538430.017010743</v>
      </c>
      <c r="E54" s="6">
        <v>1714860.8213580402</v>
      </c>
      <c r="F54" s="6">
        <v>1916390.137666872</v>
      </c>
      <c r="R54" s="13">
        <v>44049</v>
      </c>
      <c r="S54" s="27">
        <v>840.04</v>
      </c>
      <c r="T54" s="22">
        <f t="shared" si="3"/>
        <v>1.002670101238293</v>
      </c>
      <c r="U54" s="13">
        <v>44293</v>
      </c>
      <c r="V54" s="27">
        <v>1242.3800000000001</v>
      </c>
      <c r="W54" s="22">
        <f t="shared" si="4"/>
        <v>1.0019497738155607</v>
      </c>
      <c r="X54" s="13">
        <v>44533</v>
      </c>
      <c r="Y54" s="27">
        <v>1443.32</v>
      </c>
      <c r="Z54" s="22">
        <f t="shared" si="5"/>
        <v>0.97351975093192267</v>
      </c>
    </row>
    <row r="55" spans="1:26" x14ac:dyDescent="0.35">
      <c r="A55">
        <v>54</v>
      </c>
      <c r="B55" s="6">
        <v>-4629256.2161242943</v>
      </c>
      <c r="C55" s="6">
        <v>1360198.6329235407</v>
      </c>
      <c r="D55" s="6">
        <v>1538510.6470672493</v>
      </c>
      <c r="E55" s="6">
        <v>1715394.4082366927</v>
      </c>
      <c r="F55" s="6">
        <v>1918477.7318729099</v>
      </c>
      <c r="R55" s="13">
        <v>44050</v>
      </c>
      <c r="S55" s="27">
        <v>841.46</v>
      </c>
      <c r="T55" s="22">
        <f t="shared" si="3"/>
        <v>1.0016889685846679</v>
      </c>
      <c r="U55" s="13">
        <v>44294</v>
      </c>
      <c r="V55" s="27">
        <v>1234.8900000000001</v>
      </c>
      <c r="W55" s="22">
        <f t="shared" si="4"/>
        <v>0.99395300243947859</v>
      </c>
      <c r="X55" s="13">
        <v>44536</v>
      </c>
      <c r="Y55" s="27">
        <v>1413.58</v>
      </c>
      <c r="Z55" s="22">
        <f t="shared" ref="Z55:Z118" si="6">LN(Y55/Y54)+1</f>
        <v>0.97917947822102047</v>
      </c>
    </row>
    <row r="56" spans="1:26" x14ac:dyDescent="0.35">
      <c r="A56">
        <v>55</v>
      </c>
      <c r="B56" s="6">
        <v>-4335850.8430194501</v>
      </c>
      <c r="C56" s="6">
        <v>1361225.3005041666</v>
      </c>
      <c r="D56" s="6">
        <v>1538864.8017688948</v>
      </c>
      <c r="E56" s="6">
        <v>1715970.7614675879</v>
      </c>
      <c r="F56" s="6">
        <v>1919565.7811648785</v>
      </c>
      <c r="R56" s="13">
        <v>44053</v>
      </c>
      <c r="S56" s="27">
        <v>843.2</v>
      </c>
      <c r="T56" s="22">
        <f t="shared" si="3"/>
        <v>1.0020656994512025</v>
      </c>
      <c r="U56" s="13">
        <v>44295</v>
      </c>
      <c r="V56" s="27">
        <v>1231.6600000000001</v>
      </c>
      <c r="W56" s="22">
        <f t="shared" si="4"/>
        <v>0.99738095571034868</v>
      </c>
      <c r="X56" s="13">
        <v>44537</v>
      </c>
      <c r="Y56" s="27">
        <v>1446.77</v>
      </c>
      <c r="Z56" s="22">
        <f t="shared" si="6"/>
        <v>1.0232079918153822</v>
      </c>
    </row>
    <row r="57" spans="1:26" x14ac:dyDescent="0.35">
      <c r="A57">
        <v>56</v>
      </c>
      <c r="B57" s="6">
        <v>-4201630.2225224916</v>
      </c>
      <c r="C57" s="6">
        <v>1362376.0884892473</v>
      </c>
      <c r="D57" s="6">
        <v>1539200.4290228751</v>
      </c>
      <c r="E57" s="6">
        <v>1715988.4675022815</v>
      </c>
      <c r="F57" s="6">
        <v>1920880.1735774158</v>
      </c>
      <c r="R57" s="13">
        <v>44054</v>
      </c>
      <c r="S57" s="27">
        <v>843.08</v>
      </c>
      <c r="T57" s="22">
        <f t="shared" si="3"/>
        <v>0.99985767488174848</v>
      </c>
      <c r="U57" s="13">
        <v>44298</v>
      </c>
      <c r="V57" s="27">
        <v>1252.45</v>
      </c>
      <c r="W57" s="22">
        <f t="shared" si="4"/>
        <v>1.0167387800228567</v>
      </c>
      <c r="X57" s="13">
        <v>44538</v>
      </c>
      <c r="Y57" s="27">
        <v>1452.87</v>
      </c>
      <c r="Z57" s="22">
        <f t="shared" si="6"/>
        <v>1.0042074250587867</v>
      </c>
    </row>
    <row r="58" spans="1:26" x14ac:dyDescent="0.35">
      <c r="A58">
        <v>57</v>
      </c>
      <c r="B58" s="6">
        <v>-3903071.8155920538</v>
      </c>
      <c r="C58" s="6">
        <v>1362677.5731356591</v>
      </c>
      <c r="D58" s="6">
        <v>1540322.1241436966</v>
      </c>
      <c r="E58" s="6">
        <v>1716581.4607473009</v>
      </c>
      <c r="F58" s="6">
        <v>1923379.4094656736</v>
      </c>
      <c r="R58" s="13">
        <v>44055</v>
      </c>
      <c r="S58" s="27">
        <v>846.92</v>
      </c>
      <c r="T58" s="22">
        <f t="shared" si="3"/>
        <v>1.004544386518889</v>
      </c>
      <c r="U58" s="13">
        <v>44299</v>
      </c>
      <c r="V58" s="27">
        <v>1248.33</v>
      </c>
      <c r="W58" s="22">
        <f t="shared" si="4"/>
        <v>0.99670502505016723</v>
      </c>
      <c r="X58" s="13">
        <v>44539</v>
      </c>
      <c r="Y58" s="27">
        <v>1467.98</v>
      </c>
      <c r="Z58" s="22">
        <f t="shared" si="6"/>
        <v>1.0103463955977947</v>
      </c>
    </row>
    <row r="59" spans="1:26" x14ac:dyDescent="0.35">
      <c r="A59">
        <v>58</v>
      </c>
      <c r="B59" s="6">
        <v>-3874317.0447258381</v>
      </c>
      <c r="C59" s="6">
        <v>1362915.0490018532</v>
      </c>
      <c r="D59" s="6">
        <v>1540409.3447582792</v>
      </c>
      <c r="E59" s="6">
        <v>1716885.4990430232</v>
      </c>
      <c r="F59" s="6">
        <v>1923792.7100556735</v>
      </c>
      <c r="R59" s="13">
        <v>44056</v>
      </c>
      <c r="S59" s="27">
        <v>855.05</v>
      </c>
      <c r="T59" s="22">
        <f t="shared" si="3"/>
        <v>1.0095537075713272</v>
      </c>
      <c r="U59" s="13">
        <v>44300</v>
      </c>
      <c r="V59" s="27">
        <v>1255.8699999999999</v>
      </c>
      <c r="W59" s="22">
        <f t="shared" si="4"/>
        <v>1.0060219014339304</v>
      </c>
      <c r="X59" s="13">
        <v>44540</v>
      </c>
      <c r="Y59" s="27">
        <v>1463.54</v>
      </c>
      <c r="Z59" s="22">
        <f t="shared" si="6"/>
        <v>0.99697085239396521</v>
      </c>
    </row>
    <row r="60" spans="1:26" x14ac:dyDescent="0.35">
      <c r="A60">
        <v>59</v>
      </c>
      <c r="B60" s="6">
        <v>-3716464.109576093</v>
      </c>
      <c r="C60" s="6">
        <v>1364146.7537000184</v>
      </c>
      <c r="D60" s="6">
        <v>1540728.6429066695</v>
      </c>
      <c r="E60" s="6">
        <v>1717294.572135089</v>
      </c>
      <c r="F60" s="6">
        <v>1925229.3735127822</v>
      </c>
      <c r="R60" s="13">
        <v>44057</v>
      </c>
      <c r="S60" s="27">
        <v>850.74</v>
      </c>
      <c r="T60" s="22">
        <f t="shared" si="3"/>
        <v>0.99494661221845881</v>
      </c>
      <c r="U60" s="13">
        <v>44301</v>
      </c>
      <c r="V60" s="27">
        <v>1247.25</v>
      </c>
      <c r="W60" s="22">
        <f t="shared" si="4"/>
        <v>0.99311256825454042</v>
      </c>
      <c r="X60" s="13">
        <v>44543</v>
      </c>
      <c r="Y60" s="27">
        <v>1476.21</v>
      </c>
      <c r="Z60" s="22">
        <f t="shared" si="6"/>
        <v>1.0086198339654344</v>
      </c>
    </row>
    <row r="61" spans="1:26" x14ac:dyDescent="0.35">
      <c r="A61">
        <v>60</v>
      </c>
      <c r="B61" s="6">
        <v>-3554126.9188657091</v>
      </c>
      <c r="C61" s="6">
        <v>1364586.149875954</v>
      </c>
      <c r="D61" s="6">
        <v>1541965.1919575902</v>
      </c>
      <c r="E61" s="6">
        <v>1719629.2359058622</v>
      </c>
      <c r="F61" s="6">
        <v>1926158.8578823893</v>
      </c>
      <c r="R61" s="13">
        <v>44060</v>
      </c>
      <c r="S61" s="27">
        <v>850.15</v>
      </c>
      <c r="T61" s="22">
        <f t="shared" si="3"/>
        <v>0.99930624552597314</v>
      </c>
      <c r="U61" s="13">
        <v>44302</v>
      </c>
      <c r="V61" s="27">
        <v>1238.71</v>
      </c>
      <c r="W61" s="22">
        <f t="shared" si="4"/>
        <v>0.993129387766158</v>
      </c>
      <c r="X61" s="13">
        <v>44544</v>
      </c>
      <c r="Y61" s="27">
        <v>1476.02</v>
      </c>
      <c r="Z61" s="22">
        <f t="shared" si="6"/>
        <v>0.9998712837412651</v>
      </c>
    </row>
    <row r="62" spans="1:26" x14ac:dyDescent="0.35">
      <c r="A62">
        <v>61</v>
      </c>
      <c r="B62" s="6">
        <v>-3458818.6150409719</v>
      </c>
      <c r="C62" s="6">
        <v>1366042.7613139702</v>
      </c>
      <c r="D62" s="6">
        <v>1542301.8606764185</v>
      </c>
      <c r="E62" s="6">
        <v>1720204.0308472631</v>
      </c>
      <c r="F62" s="6">
        <v>1928762.9326904723</v>
      </c>
      <c r="R62" s="13">
        <v>44061</v>
      </c>
      <c r="S62" s="27">
        <v>846.43</v>
      </c>
      <c r="T62" s="22">
        <f t="shared" si="3"/>
        <v>0.99561470020681253</v>
      </c>
      <c r="U62" s="13">
        <v>44305</v>
      </c>
      <c r="V62" s="27">
        <v>1260.58</v>
      </c>
      <c r="W62" s="22">
        <f t="shared" si="4"/>
        <v>1.0175014169849557</v>
      </c>
      <c r="X62" s="13">
        <v>44545</v>
      </c>
      <c r="Y62" s="27">
        <v>1475.5</v>
      </c>
      <c r="Z62" s="22">
        <f t="shared" si="6"/>
        <v>0.99964763917887722</v>
      </c>
    </row>
    <row r="63" spans="1:26" x14ac:dyDescent="0.35">
      <c r="A63">
        <v>62</v>
      </c>
      <c r="B63" s="6">
        <v>-3124498.4515284356</v>
      </c>
      <c r="C63" s="6">
        <v>1366137.9671883304</v>
      </c>
      <c r="D63" s="6">
        <v>1542325.7221100102</v>
      </c>
      <c r="E63" s="6">
        <v>1720400.1969428319</v>
      </c>
      <c r="F63" s="6">
        <v>1928933.5622313074</v>
      </c>
      <c r="R63" s="13">
        <v>44062</v>
      </c>
      <c r="S63" s="27">
        <v>851.21</v>
      </c>
      <c r="T63" s="22">
        <f t="shared" si="3"/>
        <v>1.0056313619283648</v>
      </c>
      <c r="U63" s="13">
        <v>44306</v>
      </c>
      <c r="V63" s="27">
        <v>1268.28</v>
      </c>
      <c r="W63" s="22">
        <f t="shared" si="4"/>
        <v>1.006089719316996</v>
      </c>
      <c r="X63" s="13">
        <v>44546</v>
      </c>
      <c r="Y63" s="27">
        <v>1476.61</v>
      </c>
      <c r="Z63" s="22">
        <f t="shared" si="6"/>
        <v>1.0007520045339162</v>
      </c>
    </row>
    <row r="64" spans="1:26" x14ac:dyDescent="0.35">
      <c r="A64">
        <v>63</v>
      </c>
      <c r="B64" s="6">
        <v>-2912768.4156646063</v>
      </c>
      <c r="C64" s="6">
        <v>1367427.9008551349</v>
      </c>
      <c r="D64" s="6">
        <v>1543022.3407224067</v>
      </c>
      <c r="E64" s="6">
        <v>1721191.327010497</v>
      </c>
      <c r="F64" s="6">
        <v>1931194.9717670314</v>
      </c>
      <c r="R64" s="13">
        <v>44063</v>
      </c>
      <c r="S64" s="27">
        <v>848.21</v>
      </c>
      <c r="T64" s="22">
        <f t="shared" si="3"/>
        <v>0.99646938000456775</v>
      </c>
      <c r="U64" s="13">
        <v>44308</v>
      </c>
      <c r="V64" s="27">
        <v>1227.82</v>
      </c>
      <c r="W64" s="22">
        <f t="shared" si="4"/>
        <v>0.96757858734940172</v>
      </c>
      <c r="X64" s="13">
        <v>44547</v>
      </c>
      <c r="Y64" s="27">
        <v>1479.79</v>
      </c>
      <c r="Z64" s="22">
        <f t="shared" si="6"/>
        <v>1.0021512658817517</v>
      </c>
    </row>
    <row r="65" spans="1:26" x14ac:dyDescent="0.35">
      <c r="A65">
        <v>64</v>
      </c>
      <c r="B65" s="6">
        <v>-2144565.9401495662</v>
      </c>
      <c r="C65" s="6">
        <v>1367910.6317407154</v>
      </c>
      <c r="D65" s="6">
        <v>1543266.6966122393</v>
      </c>
      <c r="E65" s="6">
        <v>1721559.7654427281</v>
      </c>
      <c r="F65" s="6">
        <v>1931371.3353173989</v>
      </c>
      <c r="R65" s="13">
        <v>44064</v>
      </c>
      <c r="S65" s="27">
        <v>854.78</v>
      </c>
      <c r="T65" s="22">
        <f t="shared" si="3"/>
        <v>1.007715879242117</v>
      </c>
      <c r="U65" s="13">
        <v>44309</v>
      </c>
      <c r="V65" s="27">
        <v>1248.53</v>
      </c>
      <c r="W65" s="22">
        <f t="shared" si="4"/>
        <v>1.0167266201070835</v>
      </c>
      <c r="X65" s="13">
        <v>44550</v>
      </c>
      <c r="Y65" s="27">
        <v>1477.33</v>
      </c>
      <c r="Z65" s="22">
        <f t="shared" si="6"/>
        <v>0.99833621864011302</v>
      </c>
    </row>
    <row r="66" spans="1:26" x14ac:dyDescent="0.35">
      <c r="A66">
        <v>65</v>
      </c>
      <c r="B66" s="6">
        <v>-2021411.1625578771</v>
      </c>
      <c r="C66" s="6">
        <v>1368754.278778523</v>
      </c>
      <c r="D66" s="6">
        <v>1543329.3885879409</v>
      </c>
      <c r="E66" s="6">
        <v>1722786.0892148248</v>
      </c>
      <c r="F66" s="6">
        <v>1931853.0209671408</v>
      </c>
      <c r="R66" s="13">
        <v>44067</v>
      </c>
      <c r="S66" s="27">
        <v>868.68</v>
      </c>
      <c r="T66" s="22">
        <f t="shared" si="3"/>
        <v>1.0161306922076936</v>
      </c>
      <c r="U66" s="13">
        <v>44312</v>
      </c>
      <c r="V66" s="27">
        <v>1215.77</v>
      </c>
      <c r="W66" s="22">
        <f t="shared" si="4"/>
        <v>0.9734107616334069</v>
      </c>
      <c r="X66" s="13">
        <v>44551</v>
      </c>
      <c r="Y66" s="27">
        <v>1478.74</v>
      </c>
      <c r="Z66" s="22">
        <f t="shared" si="6"/>
        <v>1.000953969362655</v>
      </c>
    </row>
    <row r="67" spans="1:26" x14ac:dyDescent="0.35">
      <c r="A67">
        <v>66</v>
      </c>
      <c r="B67" s="6">
        <v>-1959869.5747510563</v>
      </c>
      <c r="C67" s="6">
        <v>1369640.8532683395</v>
      </c>
      <c r="D67" s="6">
        <v>1546664.9584503924</v>
      </c>
      <c r="E67" s="6">
        <v>1723331.2379412558</v>
      </c>
      <c r="F67" s="6">
        <v>1933338.1524978038</v>
      </c>
      <c r="R67" s="13">
        <v>44068</v>
      </c>
      <c r="S67" s="27">
        <v>874.12</v>
      </c>
      <c r="T67" s="22">
        <f t="shared" si="3"/>
        <v>1.0062428479089012</v>
      </c>
      <c r="U67" s="13">
        <v>44313</v>
      </c>
      <c r="V67" s="27">
        <v>1219.75</v>
      </c>
      <c r="W67" s="22">
        <f t="shared" si="4"/>
        <v>1.003268298796798</v>
      </c>
      <c r="X67" s="13">
        <v>44552</v>
      </c>
      <c r="Y67" s="27">
        <v>1477.67</v>
      </c>
      <c r="Z67" s="22">
        <f t="shared" si="6"/>
        <v>0.99927614908167706</v>
      </c>
    </row>
    <row r="68" spans="1:26" x14ac:dyDescent="0.35">
      <c r="A68">
        <v>67</v>
      </c>
      <c r="B68" s="6">
        <v>-1490342.4873973066</v>
      </c>
      <c r="C68" s="6">
        <v>1369785.7360852486</v>
      </c>
      <c r="D68" s="6">
        <v>1546737.7492904007</v>
      </c>
      <c r="E68" s="6">
        <v>1723582.4514703308</v>
      </c>
      <c r="F68" s="6">
        <v>1934124.3165194725</v>
      </c>
      <c r="R68" s="13">
        <v>44069</v>
      </c>
      <c r="S68" s="27">
        <v>873.47</v>
      </c>
      <c r="T68" s="22">
        <f t="shared" ref="T68:T99" si="7">LN(S68/S67)+1</f>
        <v>0.99925611839164374</v>
      </c>
      <c r="U68" s="13">
        <v>44314</v>
      </c>
      <c r="V68" s="27">
        <v>1229.55</v>
      </c>
      <c r="W68" s="22">
        <f t="shared" ref="W68:W93" si="8">LN(V68/V67)+1</f>
        <v>1.0080023290712028</v>
      </c>
      <c r="X68" s="13">
        <v>44553</v>
      </c>
      <c r="Y68" s="27">
        <v>1456.96</v>
      </c>
      <c r="Z68" s="22">
        <f t="shared" si="6"/>
        <v>0.98588555026331037</v>
      </c>
    </row>
    <row r="69" spans="1:26" x14ac:dyDescent="0.35">
      <c r="A69">
        <v>68</v>
      </c>
      <c r="B69" s="6">
        <v>-1419172.6008619079</v>
      </c>
      <c r="C69" s="6">
        <v>1371653.0211797783</v>
      </c>
      <c r="D69" s="6">
        <v>1546941.3116684887</v>
      </c>
      <c r="E69" s="6">
        <v>1723769.4581458871</v>
      </c>
      <c r="F69" s="6">
        <v>1936319.2995420883</v>
      </c>
      <c r="R69" s="13">
        <v>44070</v>
      </c>
      <c r="S69" s="27">
        <v>874.71</v>
      </c>
      <c r="T69" s="22">
        <f t="shared" si="7"/>
        <v>1.0014186184580034</v>
      </c>
      <c r="U69" s="13">
        <v>44315</v>
      </c>
      <c r="V69" s="27">
        <v>1239.3900000000001</v>
      </c>
      <c r="W69" s="22">
        <f t="shared" si="8"/>
        <v>1.0079710743081045</v>
      </c>
      <c r="X69" s="13">
        <v>44554</v>
      </c>
      <c r="Y69" s="27">
        <v>1477.03</v>
      </c>
      <c r="Z69" s="22">
        <f t="shared" si="6"/>
        <v>1.0136812416208003</v>
      </c>
    </row>
    <row r="70" spans="1:26" x14ac:dyDescent="0.35">
      <c r="A70">
        <v>69</v>
      </c>
      <c r="B70" s="6">
        <v>-1357525.2194850913</v>
      </c>
      <c r="C70" s="6">
        <v>1374513.2198516524</v>
      </c>
      <c r="D70" s="6">
        <v>1547547.2198818494</v>
      </c>
      <c r="E70" s="6">
        <v>1724420.9817220687</v>
      </c>
      <c r="F70" s="6">
        <v>1936390.8033624578</v>
      </c>
      <c r="R70" s="13">
        <v>44071</v>
      </c>
      <c r="S70" s="27">
        <v>878.98</v>
      </c>
      <c r="T70" s="22">
        <f t="shared" si="7"/>
        <v>1.0048697414461669</v>
      </c>
      <c r="U70" s="13">
        <v>44320</v>
      </c>
      <c r="V70" s="27">
        <v>1242.2</v>
      </c>
      <c r="W70" s="22">
        <f t="shared" si="8"/>
        <v>1.0022646780499487</v>
      </c>
      <c r="X70" s="13">
        <v>44557</v>
      </c>
      <c r="Y70" s="27">
        <v>1488.88</v>
      </c>
      <c r="Z70" s="22">
        <f t="shared" si="6"/>
        <v>1.0079908446684906</v>
      </c>
    </row>
    <row r="71" spans="1:26" x14ac:dyDescent="0.35">
      <c r="A71">
        <v>70</v>
      </c>
      <c r="B71" s="6">
        <v>-1117948.413189675</v>
      </c>
      <c r="C71" s="6">
        <v>1374945.020305959</v>
      </c>
      <c r="D71" s="6">
        <v>1548338.6779335309</v>
      </c>
      <c r="E71" s="6">
        <v>1724706.9774599692</v>
      </c>
      <c r="F71" s="6">
        <v>1940015.6495658131</v>
      </c>
      <c r="R71" s="13">
        <v>44074</v>
      </c>
      <c r="S71" s="27">
        <v>881.65</v>
      </c>
      <c r="T71" s="22">
        <f t="shared" si="7"/>
        <v>1.0030330075561669</v>
      </c>
      <c r="U71" s="13">
        <v>44321</v>
      </c>
      <c r="V71" s="27">
        <v>1256.43</v>
      </c>
      <c r="W71" s="22">
        <f t="shared" si="8"/>
        <v>1.0113903650001608</v>
      </c>
      <c r="X71" s="13">
        <v>44558</v>
      </c>
      <c r="Y71" s="27">
        <v>1494.39</v>
      </c>
      <c r="Z71" s="22">
        <f t="shared" si="6"/>
        <v>1.0036939373676583</v>
      </c>
    </row>
    <row r="72" spans="1:26" x14ac:dyDescent="0.35">
      <c r="A72">
        <v>71</v>
      </c>
      <c r="B72" s="6">
        <v>-1099830.585349963</v>
      </c>
      <c r="C72" s="6">
        <v>1375361.0732636016</v>
      </c>
      <c r="D72" s="6">
        <v>1548830.9516323495</v>
      </c>
      <c r="E72" s="6">
        <v>1725411.9131589737</v>
      </c>
      <c r="F72" s="6">
        <v>1940911.5552991626</v>
      </c>
      <c r="R72" s="13">
        <v>44075</v>
      </c>
      <c r="S72" s="27">
        <v>891.73</v>
      </c>
      <c r="T72" s="22">
        <f t="shared" si="7"/>
        <v>1.0113682443230765</v>
      </c>
      <c r="U72" s="13">
        <v>44322</v>
      </c>
      <c r="V72" s="27">
        <v>1250.57</v>
      </c>
      <c r="W72" s="22">
        <f t="shared" si="8"/>
        <v>0.99532508123457875</v>
      </c>
      <c r="X72" s="13">
        <v>44559</v>
      </c>
      <c r="Y72" s="27">
        <v>1485.82</v>
      </c>
      <c r="Z72" s="22">
        <f t="shared" si="6"/>
        <v>0.99424871158562289</v>
      </c>
    </row>
    <row r="73" spans="1:26" x14ac:dyDescent="0.35">
      <c r="A73">
        <v>72</v>
      </c>
      <c r="B73" s="6">
        <v>-1053214.5041954576</v>
      </c>
      <c r="C73" s="6">
        <v>1377054.2388500939</v>
      </c>
      <c r="D73" s="6">
        <v>1549918.8995052173</v>
      </c>
      <c r="E73" s="6">
        <v>1726659.6021403465</v>
      </c>
      <c r="F73" s="6">
        <v>1941252.9896512339</v>
      </c>
      <c r="R73" s="13">
        <v>44077</v>
      </c>
      <c r="S73" s="27">
        <v>903.97</v>
      </c>
      <c r="T73" s="22">
        <f t="shared" si="7"/>
        <v>1.0136327778237975</v>
      </c>
      <c r="U73" s="13">
        <v>44323</v>
      </c>
      <c r="V73" s="27">
        <v>1241.81</v>
      </c>
      <c r="W73" s="22">
        <f t="shared" si="8"/>
        <v>0.99297054536496843</v>
      </c>
      <c r="X73" s="13">
        <v>44560</v>
      </c>
      <c r="Y73" s="27">
        <v>1485.97</v>
      </c>
      <c r="Z73" s="22">
        <f t="shared" si="6"/>
        <v>1.0001009492596229</v>
      </c>
    </row>
    <row r="74" spans="1:26" x14ac:dyDescent="0.35">
      <c r="A74">
        <v>73</v>
      </c>
      <c r="B74" s="6">
        <v>-574556.49086531857</v>
      </c>
      <c r="C74" s="6">
        <v>1377912.7937261385</v>
      </c>
      <c r="D74" s="6">
        <v>1553243.2873223638</v>
      </c>
      <c r="E74" s="6">
        <v>1726892.2495736671</v>
      </c>
      <c r="F74" s="6">
        <v>1941384.3903358956</v>
      </c>
      <c r="R74" s="13">
        <v>44078</v>
      </c>
      <c r="S74" s="27">
        <v>901.54</v>
      </c>
      <c r="T74" s="22">
        <f t="shared" si="7"/>
        <v>0.9973082381518461</v>
      </c>
      <c r="U74" s="13">
        <v>44326</v>
      </c>
      <c r="V74" s="27">
        <v>1259.58</v>
      </c>
      <c r="W74" s="22">
        <f t="shared" si="8"/>
        <v>1.0142083393193753</v>
      </c>
      <c r="X74" s="13">
        <v>44561</v>
      </c>
      <c r="Y74" s="27">
        <v>1498.28</v>
      </c>
      <c r="Z74" s="22">
        <f t="shared" si="6"/>
        <v>1.0082500258498044</v>
      </c>
    </row>
    <row r="75" spans="1:26" x14ac:dyDescent="0.35">
      <c r="A75">
        <v>74</v>
      </c>
      <c r="B75" s="6">
        <v>-289953.12372200005</v>
      </c>
      <c r="C75" s="6">
        <v>1380010.9391862946</v>
      </c>
      <c r="D75" s="6">
        <v>1554211.34143891</v>
      </c>
      <c r="E75" s="6">
        <v>1727570.0893786326</v>
      </c>
      <c r="F75" s="6">
        <v>1944178.1304292753</v>
      </c>
      <c r="R75" s="13">
        <v>44081</v>
      </c>
      <c r="S75" s="27">
        <v>888.25</v>
      </c>
      <c r="T75" s="22">
        <f t="shared" si="7"/>
        <v>0.98514882274848403</v>
      </c>
      <c r="U75" s="13">
        <v>44327</v>
      </c>
      <c r="V75" s="27">
        <v>1256.04</v>
      </c>
      <c r="W75" s="22">
        <f t="shared" si="8"/>
        <v>0.99718558261050683</v>
      </c>
      <c r="X75" s="13">
        <v>44565</v>
      </c>
      <c r="Y75" s="27">
        <v>1525.58</v>
      </c>
      <c r="Z75" s="22">
        <f t="shared" si="6"/>
        <v>1.0180568821056362</v>
      </c>
    </row>
    <row r="76" spans="1:26" x14ac:dyDescent="0.35">
      <c r="A76">
        <v>75</v>
      </c>
      <c r="B76" s="6">
        <v>-167703.21907991869</v>
      </c>
      <c r="C76" s="6">
        <v>1380528.8129915097</v>
      </c>
      <c r="D76" s="6">
        <v>1554562.5941381741</v>
      </c>
      <c r="E76" s="6">
        <v>1728172.1921380572</v>
      </c>
      <c r="F76" s="6">
        <v>1948233.4286759715</v>
      </c>
      <c r="R76" s="13">
        <v>44082</v>
      </c>
      <c r="S76" s="27">
        <v>890.14</v>
      </c>
      <c r="T76" s="22">
        <f t="shared" si="7"/>
        <v>1.0021255188249576</v>
      </c>
      <c r="U76" s="13">
        <v>44328</v>
      </c>
      <c r="V76" s="27">
        <v>1269.0899999999999</v>
      </c>
      <c r="W76" s="22">
        <f t="shared" si="8"/>
        <v>1.0103361935305653</v>
      </c>
      <c r="X76" s="13">
        <v>44566</v>
      </c>
      <c r="Y76" s="27">
        <v>1522.5</v>
      </c>
      <c r="Z76" s="22">
        <f t="shared" si="6"/>
        <v>0.99797905497999873</v>
      </c>
    </row>
    <row r="77" spans="1:26" x14ac:dyDescent="0.35">
      <c r="A77">
        <v>76</v>
      </c>
      <c r="B77" s="6">
        <v>167096.21898425114</v>
      </c>
      <c r="C77" s="6">
        <v>1381387.8293065052</v>
      </c>
      <c r="D77" s="6">
        <v>1554927.2970127058</v>
      </c>
      <c r="E77" s="6">
        <v>1729771.3470340818</v>
      </c>
      <c r="F77" s="6">
        <v>1950408.1871500593</v>
      </c>
      <c r="R77" s="13">
        <v>44083</v>
      </c>
      <c r="S77" s="27">
        <v>889.32</v>
      </c>
      <c r="T77" s="22">
        <f t="shared" si="7"/>
        <v>0.9990783720251738</v>
      </c>
      <c r="U77" s="13">
        <v>44329</v>
      </c>
      <c r="V77" s="27">
        <v>1261.99</v>
      </c>
      <c r="W77" s="22">
        <f t="shared" si="8"/>
        <v>0.99438973195413649</v>
      </c>
      <c r="X77" s="13">
        <v>44567</v>
      </c>
      <c r="Y77" s="27">
        <v>1528.57</v>
      </c>
      <c r="Z77" s="22">
        <f t="shared" si="6"/>
        <v>1.0039789372307562</v>
      </c>
    </row>
    <row r="78" spans="1:26" x14ac:dyDescent="0.35">
      <c r="A78">
        <v>77</v>
      </c>
      <c r="B78" s="6">
        <v>632105.59457116597</v>
      </c>
      <c r="C78" s="6">
        <v>1381886.3908459533</v>
      </c>
      <c r="D78" s="6">
        <v>1555054.0778106423</v>
      </c>
      <c r="E78" s="6">
        <v>1730062.0111911674</v>
      </c>
      <c r="F78" s="6">
        <v>1950989.1864657633</v>
      </c>
      <c r="R78" s="13">
        <v>44084</v>
      </c>
      <c r="S78" s="27">
        <v>888.82</v>
      </c>
      <c r="T78" s="22">
        <f t="shared" si="7"/>
        <v>0.99943761457120561</v>
      </c>
      <c r="U78" s="13">
        <v>44330</v>
      </c>
      <c r="V78" s="27">
        <v>1266.3599999999999</v>
      </c>
      <c r="W78" s="22">
        <f t="shared" si="8"/>
        <v>1.0034568033315046</v>
      </c>
      <c r="X78" s="13">
        <v>44568</v>
      </c>
      <c r="Y78" s="27">
        <v>1528.48</v>
      </c>
      <c r="Z78" s="22">
        <f t="shared" si="6"/>
        <v>0.99994111970689004</v>
      </c>
    </row>
    <row r="79" spans="1:26" x14ac:dyDescent="0.35">
      <c r="A79">
        <v>78</v>
      </c>
      <c r="B79" s="6">
        <v>792161.47037839121</v>
      </c>
      <c r="C79" s="6">
        <v>1382469.2422867254</v>
      </c>
      <c r="D79" s="6">
        <v>1556276.0437746989</v>
      </c>
      <c r="E79" s="6">
        <v>1730108.8639689963</v>
      </c>
      <c r="F79" s="6">
        <v>1952001.7943739728</v>
      </c>
      <c r="R79" s="13">
        <v>44085</v>
      </c>
      <c r="S79" s="27">
        <v>888.97</v>
      </c>
      <c r="T79" s="22">
        <f t="shared" si="7"/>
        <v>1.0001687488402522</v>
      </c>
      <c r="U79" s="13">
        <v>44333</v>
      </c>
      <c r="V79" s="27">
        <v>1258.7</v>
      </c>
      <c r="W79" s="22">
        <f t="shared" si="8"/>
        <v>0.99393279882646024</v>
      </c>
      <c r="X79" s="13">
        <v>44571</v>
      </c>
      <c r="Y79" s="27">
        <v>1503.71</v>
      </c>
      <c r="Z79" s="22">
        <f t="shared" si="6"/>
        <v>0.9836616102471486</v>
      </c>
    </row>
    <row r="80" spans="1:26" x14ac:dyDescent="0.35">
      <c r="A80">
        <v>79</v>
      </c>
      <c r="B80" s="6">
        <v>799497.41506510484</v>
      </c>
      <c r="C80" s="6">
        <v>1384614.0345107762</v>
      </c>
      <c r="D80" s="6">
        <v>1556517.68217029</v>
      </c>
      <c r="E80" s="6">
        <v>1731033.3145928532</v>
      </c>
      <c r="F80" s="6">
        <v>1952457.0708366372</v>
      </c>
      <c r="R80" s="13">
        <v>44088</v>
      </c>
      <c r="S80" s="27">
        <v>894.57</v>
      </c>
      <c r="T80" s="22">
        <f t="shared" si="7"/>
        <v>1.0062796667331502</v>
      </c>
      <c r="U80" s="13">
        <v>44334</v>
      </c>
      <c r="V80" s="27">
        <v>1252.68</v>
      </c>
      <c r="W80" s="22">
        <f t="shared" si="8"/>
        <v>0.99520581391074803</v>
      </c>
      <c r="X80" s="13">
        <v>44572</v>
      </c>
      <c r="Y80" s="27">
        <v>1492.31</v>
      </c>
      <c r="Z80" s="22">
        <f t="shared" si="6"/>
        <v>0.99238986721159272</v>
      </c>
    </row>
    <row r="81" spans="1:26" x14ac:dyDescent="0.35">
      <c r="A81">
        <v>80</v>
      </c>
      <c r="B81" s="6">
        <v>833422.76833993336</v>
      </c>
      <c r="C81" s="6">
        <v>1386880.9844185114</v>
      </c>
      <c r="D81" s="6">
        <v>1556735.5917417158</v>
      </c>
      <c r="E81" s="6">
        <v>1731392.1300243954</v>
      </c>
      <c r="F81" s="6">
        <v>1953563.9029958006</v>
      </c>
      <c r="R81" s="13">
        <v>44089</v>
      </c>
      <c r="S81" s="27">
        <v>896.26</v>
      </c>
      <c r="T81" s="22">
        <f t="shared" si="7"/>
        <v>1.0018873935568247</v>
      </c>
      <c r="U81" s="13">
        <v>44335</v>
      </c>
      <c r="V81" s="27">
        <v>1262.49</v>
      </c>
      <c r="W81" s="22">
        <f t="shared" si="8"/>
        <v>1.0078007051178586</v>
      </c>
      <c r="X81" s="13">
        <v>44573</v>
      </c>
      <c r="Y81" s="27">
        <v>1510.51</v>
      </c>
      <c r="Z81" s="22">
        <f t="shared" si="6"/>
        <v>1.0121220871487688</v>
      </c>
    </row>
    <row r="82" spans="1:26" x14ac:dyDescent="0.35">
      <c r="A82">
        <v>81</v>
      </c>
      <c r="B82" s="6">
        <v>887506.58412435034</v>
      </c>
      <c r="C82" s="6">
        <v>1388110.5005619996</v>
      </c>
      <c r="D82" s="6">
        <v>1558128.8417297062</v>
      </c>
      <c r="E82" s="6">
        <v>1731745.3888332492</v>
      </c>
      <c r="F82" s="6">
        <v>1954328.8732750204</v>
      </c>
      <c r="R82" s="13">
        <v>44090</v>
      </c>
      <c r="S82" s="27">
        <v>897.47</v>
      </c>
      <c r="T82" s="22">
        <f t="shared" si="7"/>
        <v>1.0013491441672222</v>
      </c>
      <c r="U82" s="13">
        <v>44336</v>
      </c>
      <c r="V82" s="27">
        <v>1278.22</v>
      </c>
      <c r="W82" s="22">
        <f t="shared" si="8"/>
        <v>1.0123825237713009</v>
      </c>
      <c r="X82" s="13">
        <v>44574</v>
      </c>
      <c r="Y82" s="27">
        <v>1496.05</v>
      </c>
      <c r="Z82" s="22">
        <f t="shared" si="6"/>
        <v>0.99038095930658931</v>
      </c>
    </row>
    <row r="83" spans="1:26" x14ac:dyDescent="0.35">
      <c r="A83">
        <v>82</v>
      </c>
      <c r="B83" s="6">
        <v>926139.81077934161</v>
      </c>
      <c r="C83" s="6">
        <v>1389765.3836347524</v>
      </c>
      <c r="D83" s="6">
        <v>1558430.9966071849</v>
      </c>
      <c r="E83" s="6">
        <v>1732337.3982525901</v>
      </c>
      <c r="F83" s="6">
        <v>1955133.7180634944</v>
      </c>
      <c r="R83" s="13">
        <v>44091</v>
      </c>
      <c r="S83" s="27">
        <v>894.04</v>
      </c>
      <c r="T83" s="22">
        <f t="shared" si="7"/>
        <v>0.99617082328197193</v>
      </c>
      <c r="U83" s="13">
        <v>44337</v>
      </c>
      <c r="V83" s="27">
        <v>1283.93</v>
      </c>
      <c r="W83" s="22">
        <f t="shared" si="8"/>
        <v>1.00445720153247</v>
      </c>
      <c r="X83" s="13">
        <v>44575</v>
      </c>
      <c r="Y83" s="27">
        <v>1496.02</v>
      </c>
      <c r="Z83" s="22">
        <f t="shared" si="6"/>
        <v>0.99997994699321813</v>
      </c>
    </row>
    <row r="84" spans="1:26" x14ac:dyDescent="0.35">
      <c r="A84">
        <v>83</v>
      </c>
      <c r="B84" s="6">
        <v>987997.3394662831</v>
      </c>
      <c r="C84" s="6">
        <v>1389828.2877054</v>
      </c>
      <c r="D84" s="6">
        <v>1559132.1177600757</v>
      </c>
      <c r="E84" s="6">
        <v>1735411.5691129549</v>
      </c>
      <c r="F84" s="6">
        <v>1958420.393351407</v>
      </c>
      <c r="R84" s="13">
        <v>44092</v>
      </c>
      <c r="S84" s="27">
        <v>900.95</v>
      </c>
      <c r="T84" s="22">
        <f t="shared" si="7"/>
        <v>1.0076992452709288</v>
      </c>
      <c r="U84" s="13">
        <v>44340</v>
      </c>
      <c r="V84" s="27">
        <v>1297.98</v>
      </c>
      <c r="W84" s="22">
        <f t="shared" si="8"/>
        <v>1.0108835231949955</v>
      </c>
      <c r="X84" s="13">
        <v>44578</v>
      </c>
      <c r="Y84" s="27">
        <v>1452.84</v>
      </c>
      <c r="Z84" s="22">
        <f t="shared" si="6"/>
        <v>0.97071201307863342</v>
      </c>
    </row>
    <row r="85" spans="1:26" x14ac:dyDescent="0.35">
      <c r="A85">
        <v>84</v>
      </c>
      <c r="B85" s="6">
        <v>1004070.3003556284</v>
      </c>
      <c r="C85" s="6">
        <v>1391851.3882241417</v>
      </c>
      <c r="D85" s="6">
        <v>1559767.7724040353</v>
      </c>
      <c r="E85" s="6">
        <v>1736722.5638464398</v>
      </c>
      <c r="F85" s="6">
        <v>1958713.2201870249</v>
      </c>
      <c r="R85" s="13">
        <v>44095</v>
      </c>
      <c r="S85" s="27">
        <v>907.94</v>
      </c>
      <c r="T85" s="22">
        <f t="shared" si="7"/>
        <v>1.0077285349499832</v>
      </c>
      <c r="U85" s="13">
        <v>44341</v>
      </c>
      <c r="V85" s="27">
        <v>1308.58</v>
      </c>
      <c r="W85" s="22">
        <f t="shared" si="8"/>
        <v>1.0081333699849175</v>
      </c>
      <c r="X85" s="13">
        <v>44579</v>
      </c>
      <c r="Y85" s="27">
        <v>1438.94</v>
      </c>
      <c r="Z85" s="22">
        <f t="shared" si="6"/>
        <v>0.99038646988847234</v>
      </c>
    </row>
    <row r="86" spans="1:26" x14ac:dyDescent="0.35">
      <c r="A86">
        <v>85</v>
      </c>
      <c r="B86" s="6">
        <v>1006220.3818797712</v>
      </c>
      <c r="C86" s="6">
        <v>1392779.9089567913</v>
      </c>
      <c r="D86" s="6">
        <v>1563452.5521313616</v>
      </c>
      <c r="E86" s="6">
        <v>1737321.2082281776</v>
      </c>
      <c r="F86" s="6">
        <v>1960562.3062430129</v>
      </c>
      <c r="R86" s="13">
        <v>44096</v>
      </c>
      <c r="S86" s="27">
        <v>906.19</v>
      </c>
      <c r="T86" s="22">
        <f t="shared" si="7"/>
        <v>0.99807069995775322</v>
      </c>
      <c r="U86" s="13">
        <v>44342</v>
      </c>
      <c r="V86" s="27">
        <v>1316.7</v>
      </c>
      <c r="W86" s="22">
        <f t="shared" si="8"/>
        <v>1.0061860265525475</v>
      </c>
      <c r="X86" s="13">
        <v>44580</v>
      </c>
      <c r="Y86" s="27">
        <v>1442.79</v>
      </c>
      <c r="Z86" s="22">
        <f t="shared" si="6"/>
        <v>1.00267200764168</v>
      </c>
    </row>
    <row r="87" spans="1:26" x14ac:dyDescent="0.35">
      <c r="A87">
        <v>86</v>
      </c>
      <c r="B87" s="6">
        <v>1009786.4640723497</v>
      </c>
      <c r="C87" s="6">
        <v>1393133.0383847719</v>
      </c>
      <c r="D87" s="6">
        <v>1563913.4156709167</v>
      </c>
      <c r="E87" s="6">
        <v>1739323.7634189068</v>
      </c>
      <c r="F87" s="6">
        <v>1961124.1542817522</v>
      </c>
      <c r="R87" s="13">
        <v>44097</v>
      </c>
      <c r="S87" s="27">
        <v>912.5</v>
      </c>
      <c r="T87" s="22">
        <f t="shared" si="7"/>
        <v>1.0069390883760871</v>
      </c>
      <c r="U87" s="13">
        <v>44343</v>
      </c>
      <c r="V87" s="27">
        <v>1303.57</v>
      </c>
      <c r="W87" s="15">
        <f t="shared" si="8"/>
        <v>0.98997804814206936</v>
      </c>
      <c r="X87" s="13">
        <v>44581</v>
      </c>
      <c r="Y87" s="27">
        <v>1465.3</v>
      </c>
      <c r="Z87" s="22">
        <f t="shared" si="6"/>
        <v>1.0154812606061778</v>
      </c>
    </row>
    <row r="88" spans="1:26" x14ac:dyDescent="0.35">
      <c r="A88">
        <v>87</v>
      </c>
      <c r="B88" s="6">
        <v>1023579.5557387378</v>
      </c>
      <c r="C88" s="6">
        <v>1394510.0128770245</v>
      </c>
      <c r="D88" s="6">
        <v>1563964.9224966019</v>
      </c>
      <c r="E88" s="6">
        <v>1740567.4472055873</v>
      </c>
      <c r="F88" s="6">
        <v>1962393.1474676984</v>
      </c>
      <c r="R88" s="13">
        <v>44098</v>
      </c>
      <c r="S88" s="27">
        <v>908.58</v>
      </c>
      <c r="T88" s="22">
        <f t="shared" si="7"/>
        <v>0.99569485573997252</v>
      </c>
      <c r="U88" s="13">
        <v>44344</v>
      </c>
      <c r="V88" s="27">
        <v>1320.46</v>
      </c>
      <c r="W88" s="22">
        <f t="shared" si="8"/>
        <v>1.0128735062177923</v>
      </c>
      <c r="X88" s="13">
        <v>44582</v>
      </c>
      <c r="Y88" s="27">
        <v>1472.89</v>
      </c>
      <c r="Z88" s="22">
        <f t="shared" si="6"/>
        <v>1.0051664575012926</v>
      </c>
    </row>
    <row r="89" spans="1:26" x14ac:dyDescent="0.35">
      <c r="A89">
        <v>88</v>
      </c>
      <c r="B89" s="6">
        <v>1024298.155781284</v>
      </c>
      <c r="C89" s="6">
        <v>1396447.1308483914</v>
      </c>
      <c r="D89" s="6">
        <v>1564015.1733167719</v>
      </c>
      <c r="E89" s="6">
        <v>1741371.9561930692</v>
      </c>
      <c r="F89" s="6">
        <v>1964856.2819454484</v>
      </c>
      <c r="R89" s="13">
        <v>44099</v>
      </c>
      <c r="S89" s="27">
        <v>908.27</v>
      </c>
      <c r="T89" s="22">
        <f t="shared" si="7"/>
        <v>0.99965875003108851</v>
      </c>
      <c r="U89" s="13">
        <v>44347</v>
      </c>
      <c r="V89" s="27">
        <v>1328.05</v>
      </c>
      <c r="W89" s="22">
        <f t="shared" si="8"/>
        <v>1.005731540207863</v>
      </c>
      <c r="X89" s="13">
        <v>44585</v>
      </c>
      <c r="Y89" s="27">
        <v>1439.71</v>
      </c>
      <c r="Z89" s="22">
        <f t="shared" si="6"/>
        <v>0.97721524725441999</v>
      </c>
    </row>
    <row r="90" spans="1:26" x14ac:dyDescent="0.35">
      <c r="A90">
        <v>89</v>
      </c>
      <c r="B90" s="6">
        <v>1025260.214248996</v>
      </c>
      <c r="C90" s="6">
        <v>1398339.3676474188</v>
      </c>
      <c r="D90" s="6">
        <v>1564953.3156425927</v>
      </c>
      <c r="E90" s="6">
        <v>1742383.4122572895</v>
      </c>
      <c r="F90" s="6">
        <v>1966843.803584473</v>
      </c>
      <c r="R90" s="13">
        <v>44102</v>
      </c>
      <c r="S90" s="27">
        <v>912.5</v>
      </c>
      <c r="T90" s="22">
        <f t="shared" si="7"/>
        <v>1.0046463942289388</v>
      </c>
      <c r="U90" s="13">
        <v>44348</v>
      </c>
      <c r="V90" s="27">
        <v>1337.78</v>
      </c>
      <c r="W90" s="22">
        <f t="shared" si="8"/>
        <v>1.0072998227247585</v>
      </c>
      <c r="X90" s="13">
        <v>44586</v>
      </c>
      <c r="Y90" s="27">
        <v>1479.58</v>
      </c>
      <c r="Z90" s="22">
        <f t="shared" si="6"/>
        <v>1.0273165593004472</v>
      </c>
    </row>
    <row r="91" spans="1:26" x14ac:dyDescent="0.35">
      <c r="A91">
        <v>90</v>
      </c>
      <c r="B91" s="6">
        <v>1037258.3119073985</v>
      </c>
      <c r="C91" s="6">
        <v>1399435.6156827977</v>
      </c>
      <c r="D91" s="6">
        <v>1565062.1247403517</v>
      </c>
      <c r="E91" s="6">
        <v>1743048.2990940129</v>
      </c>
      <c r="F91" s="6">
        <v>1967598.9773101464</v>
      </c>
      <c r="R91" s="13">
        <v>44103</v>
      </c>
      <c r="S91" s="27">
        <v>903.98</v>
      </c>
      <c r="T91" s="22">
        <f t="shared" si="7"/>
        <v>0.9906191507969877</v>
      </c>
      <c r="U91" s="13">
        <v>44349</v>
      </c>
      <c r="V91" s="27">
        <v>1340.78</v>
      </c>
      <c r="W91" s="22">
        <f t="shared" si="8"/>
        <v>1.0022400104940055</v>
      </c>
      <c r="X91" s="13">
        <v>44587</v>
      </c>
      <c r="Y91" s="27">
        <v>1481.58</v>
      </c>
      <c r="Z91" s="22">
        <f t="shared" si="6"/>
        <v>1.0013508221805778</v>
      </c>
    </row>
    <row r="92" spans="1:26" x14ac:dyDescent="0.35">
      <c r="A92">
        <v>91</v>
      </c>
      <c r="B92" s="6">
        <v>1042858.0273336973</v>
      </c>
      <c r="C92" s="6">
        <v>1399504.5856791867</v>
      </c>
      <c r="D92" s="6">
        <v>1567723.5662509648</v>
      </c>
      <c r="E92" s="6">
        <v>1744054.4534130981</v>
      </c>
      <c r="F92" s="6">
        <v>1967933.3647486898</v>
      </c>
      <c r="R92" s="13">
        <v>44104</v>
      </c>
      <c r="S92" s="27">
        <v>905.21</v>
      </c>
      <c r="T92" s="22">
        <f t="shared" si="7"/>
        <v>1.0013597247270958</v>
      </c>
      <c r="U92" s="13">
        <v>44350</v>
      </c>
      <c r="V92" s="27">
        <v>1364.28</v>
      </c>
      <c r="W92" s="22">
        <f t="shared" si="8"/>
        <v>1.0173752827802289</v>
      </c>
      <c r="X92" s="13">
        <v>44588</v>
      </c>
      <c r="Y92" s="27">
        <v>1470.76</v>
      </c>
      <c r="Z92" s="22">
        <f t="shared" si="6"/>
        <v>0.9926701880928156</v>
      </c>
    </row>
    <row r="93" spans="1:26" x14ac:dyDescent="0.35">
      <c r="A93">
        <v>92</v>
      </c>
      <c r="B93" s="6">
        <v>1049468.4549980753</v>
      </c>
      <c r="C93" s="6">
        <v>1400270.9504163517</v>
      </c>
      <c r="D93" s="6">
        <v>1568070.8789636965</v>
      </c>
      <c r="E93" s="6">
        <v>1744854.4362332695</v>
      </c>
      <c r="F93" s="6">
        <v>1969172.8833358579</v>
      </c>
      <c r="R93" s="13">
        <v>44105</v>
      </c>
      <c r="S93" s="27">
        <v>914.09</v>
      </c>
      <c r="T93" s="22">
        <f t="shared" si="7"/>
        <v>1.0097620738970727</v>
      </c>
      <c r="U93" s="13">
        <v>44351</v>
      </c>
      <c r="V93" s="27">
        <v>1374.05</v>
      </c>
      <c r="W93" s="22">
        <f t="shared" si="8"/>
        <v>1.0071357662930676</v>
      </c>
      <c r="X93" s="13">
        <v>44589</v>
      </c>
      <c r="Y93" s="27">
        <v>1478.96</v>
      </c>
      <c r="Z93" s="22">
        <f t="shared" si="6"/>
        <v>1.0055598640706573</v>
      </c>
    </row>
    <row r="94" spans="1:26" x14ac:dyDescent="0.35">
      <c r="A94">
        <v>93</v>
      </c>
      <c r="B94" s="6">
        <v>1049715.6972942771</v>
      </c>
      <c r="C94" s="6">
        <v>1401611.0808333124</v>
      </c>
      <c r="D94" s="6">
        <v>1568196.5257571144</v>
      </c>
      <c r="E94" s="6">
        <v>1745063.8021559576</v>
      </c>
      <c r="F94" s="6">
        <v>1969923.4512448753</v>
      </c>
      <c r="R94" s="13">
        <v>44106</v>
      </c>
      <c r="S94" s="27">
        <v>909.91</v>
      </c>
      <c r="T94" s="22">
        <f t="shared" si="7"/>
        <v>0.99541665864315554</v>
      </c>
      <c r="U94" s="13">
        <v>44354</v>
      </c>
      <c r="V94" s="27">
        <v>1358.78</v>
      </c>
      <c r="W94" s="22">
        <f t="shared" ref="W94:W157" si="9">LN(V94/V93)+1</f>
        <v>0.98882465508643125</v>
      </c>
      <c r="X94" s="13">
        <v>44599</v>
      </c>
      <c r="Y94" s="27">
        <v>1497.66</v>
      </c>
      <c r="Z94" s="22">
        <f t="shared" si="6"/>
        <v>1.012564751979157</v>
      </c>
    </row>
    <row r="95" spans="1:26" x14ac:dyDescent="0.35">
      <c r="A95">
        <v>94</v>
      </c>
      <c r="B95" s="6">
        <v>1055995.2771899635</v>
      </c>
      <c r="C95" s="6">
        <v>1404513.9406072542</v>
      </c>
      <c r="D95" s="6">
        <v>1568777.8277652317</v>
      </c>
      <c r="E95" s="6">
        <v>1745934.1753321334</v>
      </c>
      <c r="F95" s="6">
        <v>1970176.1577995939</v>
      </c>
      <c r="R95" s="13">
        <v>44109</v>
      </c>
      <c r="S95" s="27">
        <v>914.68</v>
      </c>
      <c r="T95" s="22">
        <f t="shared" si="7"/>
        <v>1.0052285838099357</v>
      </c>
      <c r="U95" s="13">
        <v>44355</v>
      </c>
      <c r="V95" s="27">
        <v>1319.88</v>
      </c>
      <c r="W95" s="22">
        <f t="shared" si="9"/>
        <v>0.97095358504851126</v>
      </c>
      <c r="X95" s="13">
        <v>44600</v>
      </c>
      <c r="Y95" s="27">
        <v>1500.99</v>
      </c>
      <c r="Z95" s="22">
        <f t="shared" si="6"/>
        <v>1.002221000362739</v>
      </c>
    </row>
    <row r="96" spans="1:26" x14ac:dyDescent="0.35">
      <c r="A96">
        <v>95</v>
      </c>
      <c r="B96" s="6">
        <v>1063444.0226601178</v>
      </c>
      <c r="C96" s="6">
        <v>1404837.5415063889</v>
      </c>
      <c r="D96" s="6">
        <v>1569071.3352500703</v>
      </c>
      <c r="E96" s="6">
        <v>1746364.4925205368</v>
      </c>
      <c r="F96" s="6">
        <v>1970317.6847914434</v>
      </c>
      <c r="R96" s="13">
        <v>44110</v>
      </c>
      <c r="S96" s="27">
        <v>915.67</v>
      </c>
      <c r="T96" s="22">
        <f t="shared" si="7"/>
        <v>1.001081760424555</v>
      </c>
      <c r="U96" s="13">
        <v>44356</v>
      </c>
      <c r="V96" s="27">
        <v>1332.9</v>
      </c>
      <c r="W96" s="22">
        <f t="shared" si="9"/>
        <v>1.0098161962529468</v>
      </c>
      <c r="X96" s="13">
        <v>44601</v>
      </c>
      <c r="Y96" s="27">
        <v>1505.38</v>
      </c>
      <c r="Z96" s="22">
        <f t="shared" si="6"/>
        <v>1.0029204676205792</v>
      </c>
    </row>
    <row r="97" spans="1:26" x14ac:dyDescent="0.35">
      <c r="A97">
        <v>96</v>
      </c>
      <c r="B97" s="6">
        <v>1067232.1060786501</v>
      </c>
      <c r="C97" s="6">
        <v>1406494.263395214</v>
      </c>
      <c r="D97" s="6">
        <v>1569668.0744328185</v>
      </c>
      <c r="E97" s="6">
        <v>1748116.4240321433</v>
      </c>
      <c r="F97" s="6">
        <v>1971335.170347549</v>
      </c>
      <c r="R97" s="13">
        <v>44111</v>
      </c>
      <c r="S97" s="27">
        <v>919.72</v>
      </c>
      <c r="T97" s="22">
        <f t="shared" si="7"/>
        <v>1.0044132381383513</v>
      </c>
      <c r="U97" s="13">
        <v>44357</v>
      </c>
      <c r="V97" s="27">
        <v>1323.58</v>
      </c>
      <c r="W97" s="22">
        <f t="shared" si="9"/>
        <v>0.99298316701809453</v>
      </c>
      <c r="X97" s="13">
        <v>44602</v>
      </c>
      <c r="Y97" s="27">
        <v>1506.79</v>
      </c>
      <c r="Z97" s="22">
        <f t="shared" si="6"/>
        <v>1.0009362022083652</v>
      </c>
    </row>
    <row r="98" spans="1:26" x14ac:dyDescent="0.35">
      <c r="A98">
        <v>97</v>
      </c>
      <c r="B98" s="6">
        <v>1070051.1446888922</v>
      </c>
      <c r="C98" s="6">
        <v>1406694.5159120986</v>
      </c>
      <c r="D98" s="6">
        <v>1570026.1144049177</v>
      </c>
      <c r="E98" s="6">
        <v>1749103.6198450169</v>
      </c>
      <c r="F98" s="6">
        <v>1972767.1089638118</v>
      </c>
      <c r="R98" s="13">
        <v>44112</v>
      </c>
      <c r="S98" s="27">
        <v>918.84</v>
      </c>
      <c r="T98" s="22">
        <f t="shared" si="7"/>
        <v>0.99904272901923219</v>
      </c>
      <c r="U98" s="13">
        <v>44358</v>
      </c>
      <c r="V98" s="27">
        <v>1351.74</v>
      </c>
      <c r="W98" s="22">
        <f t="shared" si="9"/>
        <v>1.0210524647890393</v>
      </c>
      <c r="X98" s="13">
        <v>44603</v>
      </c>
      <c r="Y98" s="27">
        <v>1501.71</v>
      </c>
      <c r="Z98" s="22">
        <f t="shared" si="6"/>
        <v>0.99662289856869735</v>
      </c>
    </row>
    <row r="99" spans="1:26" x14ac:dyDescent="0.35">
      <c r="A99">
        <v>98</v>
      </c>
      <c r="B99" s="6">
        <v>1070289.0389953975</v>
      </c>
      <c r="C99" s="6">
        <v>1407995.0176116526</v>
      </c>
      <c r="D99" s="6">
        <v>1570770.7677571177</v>
      </c>
      <c r="E99" s="6">
        <v>1749213.3437675531</v>
      </c>
      <c r="F99" s="6">
        <v>1973367.6015617196</v>
      </c>
      <c r="R99" s="13">
        <v>44113</v>
      </c>
      <c r="S99" s="27">
        <v>924</v>
      </c>
      <c r="T99" s="22">
        <f t="shared" si="7"/>
        <v>1.0056000667286518</v>
      </c>
      <c r="U99" s="13">
        <v>44361</v>
      </c>
      <c r="V99" s="27">
        <v>1361.72</v>
      </c>
      <c r="W99" s="22">
        <f t="shared" si="9"/>
        <v>1.0073559551285118</v>
      </c>
      <c r="X99" s="13">
        <v>44606</v>
      </c>
      <c r="Y99" s="27">
        <v>1471.96</v>
      </c>
      <c r="Z99" s="22">
        <f t="shared" si="6"/>
        <v>0.97999038722283305</v>
      </c>
    </row>
    <row r="100" spans="1:26" x14ac:dyDescent="0.35">
      <c r="A100">
        <v>99</v>
      </c>
      <c r="B100" s="6">
        <v>1072306.2291051731</v>
      </c>
      <c r="C100" s="6">
        <v>1408403.262677541</v>
      </c>
      <c r="D100" s="6">
        <v>1571129.6093645087</v>
      </c>
      <c r="E100" s="6">
        <v>1749508.7641398681</v>
      </c>
      <c r="F100" s="6">
        <v>1973590.0924066198</v>
      </c>
      <c r="R100" s="13">
        <v>44116</v>
      </c>
      <c r="S100" s="27">
        <v>925.83</v>
      </c>
      <c r="T100" s="22">
        <f t="shared" ref="T100:T131" si="10">LN(S100/S99)+1</f>
        <v>1.0019785608374741</v>
      </c>
      <c r="U100" s="13">
        <v>44362</v>
      </c>
      <c r="V100" s="27">
        <v>1367.36</v>
      </c>
      <c r="W100" s="22">
        <f t="shared" si="9"/>
        <v>1.0041332669100418</v>
      </c>
      <c r="X100" s="13">
        <v>44607</v>
      </c>
      <c r="Y100" s="27">
        <v>1492.75</v>
      </c>
      <c r="Z100" s="22">
        <f t="shared" si="6"/>
        <v>1.0140252104205412</v>
      </c>
    </row>
    <row r="101" spans="1:26" x14ac:dyDescent="0.35">
      <c r="A101">
        <v>100</v>
      </c>
      <c r="B101" s="6">
        <v>1074746.821147009</v>
      </c>
      <c r="C101" s="6">
        <v>1408640.319060174</v>
      </c>
      <c r="D101" s="6">
        <v>1571263.3081757403</v>
      </c>
      <c r="E101" s="6">
        <v>1749562.362627232</v>
      </c>
      <c r="F101" s="6">
        <v>1974292.3901577953</v>
      </c>
      <c r="R101" s="13">
        <v>44117</v>
      </c>
      <c r="S101" s="27">
        <v>929.86</v>
      </c>
      <c r="T101" s="22">
        <f t="shared" si="10"/>
        <v>1.0043434047018081</v>
      </c>
      <c r="U101" s="13">
        <v>44363</v>
      </c>
      <c r="V101" s="27">
        <v>1356.52</v>
      </c>
      <c r="W101" s="22">
        <f t="shared" si="9"/>
        <v>0.99204072336066007</v>
      </c>
      <c r="X101" s="13">
        <v>44608</v>
      </c>
      <c r="Y101" s="27">
        <v>1492.1</v>
      </c>
      <c r="Z101" s="22">
        <f t="shared" si="6"/>
        <v>0.99956446721927406</v>
      </c>
    </row>
    <row r="102" spans="1:26" x14ac:dyDescent="0.35">
      <c r="A102">
        <v>101</v>
      </c>
      <c r="B102" s="6">
        <v>1077153.0116568543</v>
      </c>
      <c r="C102" s="6">
        <v>1408747.1875678999</v>
      </c>
      <c r="D102" s="6">
        <v>1575855.8715496734</v>
      </c>
      <c r="E102" s="6">
        <v>1749652.708198959</v>
      </c>
      <c r="F102" s="6">
        <v>1974738.3347960357</v>
      </c>
      <c r="R102" s="13">
        <v>44118</v>
      </c>
      <c r="S102" s="27">
        <v>940.18</v>
      </c>
      <c r="T102" s="22">
        <f t="shared" si="10"/>
        <v>1.011037309113038</v>
      </c>
      <c r="U102" s="13">
        <v>44364</v>
      </c>
      <c r="V102" s="27">
        <v>1359.92</v>
      </c>
      <c r="W102" s="22">
        <f t="shared" si="9"/>
        <v>1.0025032776541942</v>
      </c>
      <c r="X102" s="13">
        <v>44609</v>
      </c>
      <c r="Y102" s="27">
        <v>1507.99</v>
      </c>
      <c r="Z102" s="22">
        <f t="shared" si="6"/>
        <v>1.0105931145998035</v>
      </c>
    </row>
    <row r="103" spans="1:26" x14ac:dyDescent="0.35">
      <c r="A103">
        <v>102</v>
      </c>
      <c r="B103" s="6">
        <v>1083490.6069215357</v>
      </c>
      <c r="C103" s="6">
        <v>1408747.9264614293</v>
      </c>
      <c r="D103" s="6">
        <v>1576146.6779225133</v>
      </c>
      <c r="E103" s="6">
        <v>1750114.7394785797</v>
      </c>
      <c r="F103" s="6">
        <v>1974909.1134444955</v>
      </c>
      <c r="R103" s="13">
        <v>44119</v>
      </c>
      <c r="S103" s="27">
        <v>942.76</v>
      </c>
      <c r="T103" s="22">
        <f t="shared" si="10"/>
        <v>1.0027403970541831</v>
      </c>
      <c r="U103" s="13">
        <v>44365</v>
      </c>
      <c r="V103" s="27">
        <v>1377.77</v>
      </c>
      <c r="W103" s="22">
        <f t="shared" si="9"/>
        <v>1.0130403756091702</v>
      </c>
      <c r="X103" s="13">
        <v>44610</v>
      </c>
      <c r="Y103" s="27">
        <v>1504.84</v>
      </c>
      <c r="Z103" s="22">
        <f t="shared" si="6"/>
        <v>0.99790894199288538</v>
      </c>
    </row>
    <row r="104" spans="1:26" x14ac:dyDescent="0.35">
      <c r="A104">
        <v>103</v>
      </c>
      <c r="B104" s="6">
        <v>1088510.164641313</v>
      </c>
      <c r="C104" s="6">
        <v>1410757.7480530688</v>
      </c>
      <c r="D104" s="6">
        <v>1576548.3812381336</v>
      </c>
      <c r="E104" s="6">
        <v>1752644.053760862</v>
      </c>
      <c r="F104" s="6">
        <v>1976449.1893593408</v>
      </c>
      <c r="R104" s="13">
        <v>44120</v>
      </c>
      <c r="S104" s="27">
        <v>943.3</v>
      </c>
      <c r="T104" s="22">
        <f t="shared" si="10"/>
        <v>1.0005726223076203</v>
      </c>
      <c r="U104" s="13">
        <v>44368</v>
      </c>
      <c r="V104" s="27">
        <v>1372.63</v>
      </c>
      <c r="W104" s="22">
        <f t="shared" si="9"/>
        <v>0.99626235748705427</v>
      </c>
      <c r="X104" s="13">
        <v>44613</v>
      </c>
      <c r="Y104" s="27">
        <v>1510.84</v>
      </c>
      <c r="Z104" s="22">
        <f t="shared" si="6"/>
        <v>1.0039792072879372</v>
      </c>
    </row>
    <row r="105" spans="1:26" x14ac:dyDescent="0.35">
      <c r="A105">
        <v>104</v>
      </c>
      <c r="B105" s="6">
        <v>1090017.5408156081</v>
      </c>
      <c r="C105" s="6">
        <v>1414648.582124992</v>
      </c>
      <c r="D105" s="6">
        <v>1577549.6010140288</v>
      </c>
      <c r="E105" s="6">
        <v>1752746.7039560485</v>
      </c>
      <c r="F105" s="6">
        <v>1976942.2781224875</v>
      </c>
      <c r="R105" s="13">
        <v>44123</v>
      </c>
      <c r="S105" s="27">
        <v>943.69</v>
      </c>
      <c r="T105" s="22">
        <f t="shared" si="10"/>
        <v>1.0004133567274369</v>
      </c>
      <c r="U105" s="13">
        <v>44369</v>
      </c>
      <c r="V105" s="27">
        <v>1379.97</v>
      </c>
      <c r="W105" s="22">
        <f t="shared" si="9"/>
        <v>1.0053331522177784</v>
      </c>
      <c r="X105" s="13">
        <v>44614</v>
      </c>
      <c r="Y105" s="27">
        <v>1503.47</v>
      </c>
      <c r="Z105" s="22">
        <f t="shared" si="6"/>
        <v>0.99510998226054037</v>
      </c>
    </row>
    <row r="106" spans="1:26" x14ac:dyDescent="0.35">
      <c r="A106">
        <v>105</v>
      </c>
      <c r="B106" s="6">
        <v>1091784.7132565668</v>
      </c>
      <c r="C106" s="6">
        <v>1418053.6104388346</v>
      </c>
      <c r="D106" s="6">
        <v>1579230.0274083754</v>
      </c>
      <c r="E106" s="6">
        <v>1753560.0001206796</v>
      </c>
      <c r="F106" s="6">
        <v>1985402.0715210077</v>
      </c>
      <c r="R106" s="13">
        <v>44124</v>
      </c>
      <c r="S106" s="27">
        <v>944.42</v>
      </c>
      <c r="T106" s="22">
        <f t="shared" si="10"/>
        <v>1.0007732600710488</v>
      </c>
      <c r="U106" s="13">
        <v>44370</v>
      </c>
      <c r="V106" s="27">
        <v>1376.87</v>
      </c>
      <c r="W106" s="22">
        <f t="shared" si="9"/>
        <v>0.99775104735378528</v>
      </c>
      <c r="X106" s="13">
        <v>44615</v>
      </c>
      <c r="Y106" s="27">
        <v>1512.3</v>
      </c>
      <c r="Z106" s="22">
        <f t="shared" si="6"/>
        <v>1.0058559009691523</v>
      </c>
    </row>
    <row r="107" spans="1:26" x14ac:dyDescent="0.35">
      <c r="A107">
        <v>106</v>
      </c>
      <c r="B107" s="6">
        <v>1103612.3926710987</v>
      </c>
      <c r="C107" s="6">
        <v>1418840.0717700059</v>
      </c>
      <c r="D107" s="6">
        <v>1580371.0434937766</v>
      </c>
      <c r="E107" s="6">
        <v>1754396.474276684</v>
      </c>
      <c r="F107" s="6">
        <v>1985430.9519912223</v>
      </c>
      <c r="R107" s="13">
        <v>44125</v>
      </c>
      <c r="S107" s="27">
        <v>939.03</v>
      </c>
      <c r="T107" s="22">
        <f t="shared" si="10"/>
        <v>0.99427644512540403</v>
      </c>
      <c r="U107" s="13">
        <v>44371</v>
      </c>
      <c r="V107" s="27">
        <v>1379.72</v>
      </c>
      <c r="W107" s="22">
        <f t="shared" si="9"/>
        <v>1.0020677728755276</v>
      </c>
      <c r="X107" s="13">
        <v>44616</v>
      </c>
      <c r="Y107" s="27">
        <v>1494.85</v>
      </c>
      <c r="Z107" s="22">
        <f t="shared" si="6"/>
        <v>0.98839419658609384</v>
      </c>
    </row>
    <row r="108" spans="1:26" x14ac:dyDescent="0.35">
      <c r="A108">
        <v>107</v>
      </c>
      <c r="B108" s="6">
        <v>1107704.1043773682</v>
      </c>
      <c r="C108" s="6">
        <v>1420804.9473659808</v>
      </c>
      <c r="D108" s="6">
        <v>1582620.3111622264</v>
      </c>
      <c r="E108" s="6">
        <v>1754454.5159102795</v>
      </c>
      <c r="F108" s="6">
        <v>1986576.9495345186</v>
      </c>
      <c r="R108" s="13">
        <v>44126</v>
      </c>
      <c r="S108" s="27">
        <v>949.9</v>
      </c>
      <c r="T108" s="22">
        <f t="shared" si="10"/>
        <v>1.0115092883164394</v>
      </c>
      <c r="U108" s="13">
        <v>44372</v>
      </c>
      <c r="V108" s="27">
        <v>1390.12</v>
      </c>
      <c r="W108" s="22">
        <f t="shared" si="9"/>
        <v>1.0075094943198584</v>
      </c>
      <c r="X108" s="13">
        <v>44617</v>
      </c>
      <c r="Y108" s="27">
        <v>1498.89</v>
      </c>
      <c r="Z108" s="22">
        <f t="shared" si="6"/>
        <v>1.0026989668123631</v>
      </c>
    </row>
    <row r="109" spans="1:26" x14ac:dyDescent="0.35">
      <c r="A109">
        <v>108</v>
      </c>
      <c r="B109" s="6">
        <v>1108991.7571307216</v>
      </c>
      <c r="C109" s="6">
        <v>1421380.0849260793</v>
      </c>
      <c r="D109" s="6">
        <v>1583767.666435099</v>
      </c>
      <c r="E109" s="6">
        <v>1754601.7715060089</v>
      </c>
      <c r="F109" s="6">
        <v>1988938.6912558803</v>
      </c>
      <c r="R109" s="13">
        <v>44127</v>
      </c>
      <c r="S109" s="27">
        <v>961.26</v>
      </c>
      <c r="T109" s="22">
        <f t="shared" si="10"/>
        <v>1.0118882079905411</v>
      </c>
      <c r="U109" s="13">
        <v>44375</v>
      </c>
      <c r="V109" s="27">
        <v>1405.81</v>
      </c>
      <c r="W109" s="22">
        <f t="shared" si="9"/>
        <v>1.0112235747702116</v>
      </c>
      <c r="X109" s="13">
        <v>44620</v>
      </c>
      <c r="Y109" s="27">
        <v>1490.13</v>
      </c>
      <c r="Z109" s="22">
        <f t="shared" si="6"/>
        <v>0.9941385303005873</v>
      </c>
    </row>
    <row r="110" spans="1:26" x14ac:dyDescent="0.35">
      <c r="A110">
        <v>109</v>
      </c>
      <c r="B110" s="6">
        <v>1112941.3551629744</v>
      </c>
      <c r="C110" s="6">
        <v>1422655.5718575285</v>
      </c>
      <c r="D110" s="6">
        <v>1584425.2461719429</v>
      </c>
      <c r="E110" s="6">
        <v>1757176.4373840271</v>
      </c>
      <c r="F110" s="6">
        <v>1991633.9661051813</v>
      </c>
      <c r="R110" s="13">
        <v>44130</v>
      </c>
      <c r="S110" s="27">
        <v>950.8</v>
      </c>
      <c r="T110" s="22">
        <f t="shared" si="10"/>
        <v>0.98905881159936082</v>
      </c>
      <c r="U110" s="13">
        <v>44376</v>
      </c>
      <c r="V110" s="27">
        <v>1410.04</v>
      </c>
      <c r="W110" s="22">
        <f t="shared" si="9"/>
        <v>1.0030044236602536</v>
      </c>
      <c r="X110" s="13">
        <v>44621</v>
      </c>
      <c r="Y110" s="27">
        <v>1498.78</v>
      </c>
      <c r="Z110" s="22">
        <f t="shared" si="6"/>
        <v>1.0057880793662208</v>
      </c>
    </row>
    <row r="111" spans="1:26" x14ac:dyDescent="0.35">
      <c r="A111">
        <v>110</v>
      </c>
      <c r="B111" s="6">
        <v>1115273.6134283259</v>
      </c>
      <c r="C111" s="6">
        <v>1423080.0628519058</v>
      </c>
      <c r="D111" s="6">
        <v>1585570.6599171241</v>
      </c>
      <c r="E111" s="6">
        <v>1757369.3409750341</v>
      </c>
      <c r="F111" s="6">
        <v>1992340.4541318964</v>
      </c>
      <c r="R111" s="13">
        <v>44131</v>
      </c>
      <c r="S111" s="27">
        <v>946.47</v>
      </c>
      <c r="T111" s="22">
        <f t="shared" si="10"/>
        <v>0.99543553893994119</v>
      </c>
      <c r="U111" s="13">
        <v>44377</v>
      </c>
      <c r="V111" s="27">
        <v>1408.55</v>
      </c>
      <c r="W111" s="22">
        <f t="shared" si="9"/>
        <v>0.99894273367975117</v>
      </c>
      <c r="X111" s="13">
        <v>44622</v>
      </c>
      <c r="Y111" s="27">
        <v>1485.52</v>
      </c>
      <c r="Z111" s="22">
        <f t="shared" si="6"/>
        <v>0.99111343547038011</v>
      </c>
    </row>
    <row r="112" spans="1:26" x14ac:dyDescent="0.35">
      <c r="A112">
        <v>111</v>
      </c>
      <c r="B112" s="6">
        <v>1131121.2866927974</v>
      </c>
      <c r="C112" s="6">
        <v>1423421.1907493526</v>
      </c>
      <c r="D112" s="6">
        <v>1585985.2015034766</v>
      </c>
      <c r="E112" s="6">
        <v>1757937.2504245064</v>
      </c>
      <c r="F112" s="6">
        <v>1992825.0519284934</v>
      </c>
      <c r="R112" s="13">
        <v>44132</v>
      </c>
      <c r="S112" s="27">
        <v>921.05</v>
      </c>
      <c r="T112" s="22">
        <f t="shared" si="10"/>
        <v>0.97277504917224622</v>
      </c>
      <c r="U112" s="13">
        <v>44378</v>
      </c>
      <c r="V112" s="27">
        <v>1417.08</v>
      </c>
      <c r="W112" s="22">
        <f t="shared" si="9"/>
        <v>1.0060376099572859</v>
      </c>
      <c r="X112" s="13">
        <v>44623</v>
      </c>
      <c r="Y112" s="27">
        <v>1505</v>
      </c>
      <c r="Z112" s="22">
        <f t="shared" si="6"/>
        <v>1.013028018890636</v>
      </c>
    </row>
    <row r="113" spans="1:26" x14ac:dyDescent="0.35">
      <c r="A113">
        <v>112</v>
      </c>
      <c r="B113" s="6">
        <v>1137402.6459957229</v>
      </c>
      <c r="C113" s="6">
        <v>1423547.5151098731</v>
      </c>
      <c r="D113" s="6">
        <v>1586790.1593696224</v>
      </c>
      <c r="E113" s="6">
        <v>1759623.3343538619</v>
      </c>
      <c r="F113" s="6">
        <v>1993410.1569742085</v>
      </c>
      <c r="R113" s="13">
        <v>44133</v>
      </c>
      <c r="S113" s="27">
        <v>919.08</v>
      </c>
      <c r="T113" s="22">
        <f t="shared" si="10"/>
        <v>0.9978588461112764</v>
      </c>
      <c r="U113" s="13">
        <v>44379</v>
      </c>
      <c r="V113" s="27">
        <v>1420.27</v>
      </c>
      <c r="W113" s="22">
        <f t="shared" si="9"/>
        <v>1.0022485779647068</v>
      </c>
      <c r="X113" s="13">
        <v>44624</v>
      </c>
      <c r="Y113" s="27">
        <v>1505.33</v>
      </c>
      <c r="Z113" s="22">
        <f t="shared" si="6"/>
        <v>1.0002192450670337</v>
      </c>
    </row>
    <row r="114" spans="1:26" x14ac:dyDescent="0.35">
      <c r="A114">
        <v>113</v>
      </c>
      <c r="B114" s="6">
        <v>1138841.1360352803</v>
      </c>
      <c r="C114" s="6">
        <v>1423792.7788037867</v>
      </c>
      <c r="D114" s="6">
        <v>1587164.0942891557</v>
      </c>
      <c r="E114" s="6">
        <v>1762225.9650179767</v>
      </c>
      <c r="F114" s="6">
        <v>1993477.0045882957</v>
      </c>
      <c r="R114" s="13">
        <v>44134</v>
      </c>
      <c r="S114" s="27">
        <v>925.47</v>
      </c>
      <c r="T114" s="22">
        <f t="shared" si="10"/>
        <v>1.006928546867816</v>
      </c>
      <c r="U114" s="13">
        <v>44382</v>
      </c>
      <c r="V114" s="27">
        <v>1411.13</v>
      </c>
      <c r="W114" s="22">
        <f t="shared" si="9"/>
        <v>0.9935438074817482</v>
      </c>
      <c r="X114" s="13">
        <v>44627</v>
      </c>
      <c r="Y114" s="27">
        <v>1499.05</v>
      </c>
      <c r="Z114" s="22">
        <f t="shared" si="6"/>
        <v>0.99581943086668345</v>
      </c>
    </row>
    <row r="115" spans="1:26" x14ac:dyDescent="0.35">
      <c r="A115">
        <v>114</v>
      </c>
      <c r="B115" s="6">
        <v>1142075.8201323675</v>
      </c>
      <c r="C115" s="6">
        <v>1424338.053818133</v>
      </c>
      <c r="D115" s="6">
        <v>1588581.3663922681</v>
      </c>
      <c r="E115" s="6">
        <v>1762723.4474477344</v>
      </c>
      <c r="F115" s="6">
        <v>1995407.1610847476</v>
      </c>
      <c r="R115" s="13">
        <v>44137</v>
      </c>
      <c r="S115" s="27">
        <v>933.68</v>
      </c>
      <c r="T115" s="22">
        <f t="shared" si="10"/>
        <v>1.0088320505267796</v>
      </c>
      <c r="U115" s="13">
        <v>44383</v>
      </c>
      <c r="V115" s="27">
        <v>1354.79</v>
      </c>
      <c r="W115" s="22">
        <f t="shared" si="9"/>
        <v>0.95925565890545872</v>
      </c>
      <c r="X115" s="13">
        <v>44628</v>
      </c>
      <c r="Y115" s="27">
        <v>1473.71</v>
      </c>
      <c r="Z115" s="22">
        <f t="shared" si="6"/>
        <v>0.98295145672108408</v>
      </c>
    </row>
    <row r="116" spans="1:26" x14ac:dyDescent="0.35">
      <c r="A116">
        <v>115</v>
      </c>
      <c r="B116" s="6">
        <v>1144131.7688786807</v>
      </c>
      <c r="C116" s="6">
        <v>1425150.9142517522</v>
      </c>
      <c r="D116" s="6">
        <v>1588838.2650959082</v>
      </c>
      <c r="E116" s="6">
        <v>1762831.1275115646</v>
      </c>
      <c r="F116" s="6">
        <v>1995623.6645874772</v>
      </c>
      <c r="R116" s="13">
        <v>44138</v>
      </c>
      <c r="S116" s="27">
        <v>935.41</v>
      </c>
      <c r="T116" s="22">
        <f t="shared" si="10"/>
        <v>1.0018511687441847</v>
      </c>
      <c r="U116" s="13">
        <v>44384</v>
      </c>
      <c r="V116" s="27">
        <v>1388.55</v>
      </c>
      <c r="W116" s="22">
        <f t="shared" si="9"/>
        <v>1.0246135764282256</v>
      </c>
      <c r="X116" s="13">
        <v>44629</v>
      </c>
      <c r="Y116" s="27">
        <v>1473.74</v>
      </c>
      <c r="Z116" s="22">
        <f t="shared" si="6"/>
        <v>1.0000203565794168</v>
      </c>
    </row>
    <row r="117" spans="1:26" x14ac:dyDescent="0.35">
      <c r="A117">
        <v>116</v>
      </c>
      <c r="B117" s="6">
        <v>1144356.0921503953</v>
      </c>
      <c r="C117" s="6">
        <v>1426571.4737717272</v>
      </c>
      <c r="D117" s="6">
        <v>1589970.6282063469</v>
      </c>
      <c r="E117" s="6">
        <v>1762867.2678031581</v>
      </c>
      <c r="F117" s="6">
        <v>1997075.5300748635</v>
      </c>
      <c r="R117" s="13">
        <v>44139</v>
      </c>
      <c r="S117" s="27">
        <v>939.76</v>
      </c>
      <c r="T117" s="22">
        <f t="shared" si="10"/>
        <v>1.0046395876673477</v>
      </c>
      <c r="U117" s="13">
        <v>44385</v>
      </c>
      <c r="V117" s="27">
        <v>1374.68</v>
      </c>
      <c r="W117" s="22">
        <f t="shared" si="9"/>
        <v>0.98996093956142039</v>
      </c>
      <c r="X117" s="13">
        <v>44630</v>
      </c>
      <c r="Y117" s="27">
        <v>1479.08</v>
      </c>
      <c r="Z117" s="22">
        <f t="shared" si="6"/>
        <v>1.0036168854325198</v>
      </c>
    </row>
    <row r="118" spans="1:26" x14ac:dyDescent="0.35">
      <c r="A118">
        <v>117</v>
      </c>
      <c r="B118" s="6">
        <v>1145792.094987106</v>
      </c>
      <c r="C118" s="6">
        <v>1426917.3603513709</v>
      </c>
      <c r="D118" s="6">
        <v>1590069.37861712</v>
      </c>
      <c r="E118" s="6">
        <v>1763009.0336419062</v>
      </c>
      <c r="F118" s="6">
        <v>1997161.0668436852</v>
      </c>
      <c r="R118" s="13">
        <v>44140</v>
      </c>
      <c r="S118" s="27">
        <v>937.75</v>
      </c>
      <c r="T118" s="22">
        <f t="shared" si="10"/>
        <v>0.99785886544636615</v>
      </c>
      <c r="U118" s="13">
        <v>44386</v>
      </c>
      <c r="V118" s="27">
        <v>1347.14</v>
      </c>
      <c r="W118" s="22">
        <f t="shared" si="9"/>
        <v>0.97976284993641649</v>
      </c>
      <c r="X118" s="13">
        <v>44631</v>
      </c>
      <c r="Y118" s="27">
        <v>1466.54</v>
      </c>
      <c r="Z118" s="22">
        <f t="shared" si="6"/>
        <v>0.99148561202261176</v>
      </c>
    </row>
    <row r="119" spans="1:26" x14ac:dyDescent="0.35">
      <c r="A119">
        <v>118</v>
      </c>
      <c r="B119" s="6">
        <v>1147740.1197836436</v>
      </c>
      <c r="C119" s="6">
        <v>1426995.0342879286</v>
      </c>
      <c r="D119" s="6">
        <v>1590135.1603658875</v>
      </c>
      <c r="E119" s="6">
        <v>1763178.9965319487</v>
      </c>
      <c r="F119" s="6">
        <v>1999538.297094028</v>
      </c>
      <c r="R119" s="13">
        <v>44141</v>
      </c>
      <c r="S119" s="27">
        <v>938.29</v>
      </c>
      <c r="T119" s="22">
        <f t="shared" si="10"/>
        <v>1.0005756807050099</v>
      </c>
      <c r="U119" s="13">
        <v>44389</v>
      </c>
      <c r="V119" s="27">
        <v>1296.3</v>
      </c>
      <c r="W119" s="22">
        <f t="shared" si="9"/>
        <v>0.96153022592683035</v>
      </c>
      <c r="X119" s="13">
        <v>44634</v>
      </c>
      <c r="Y119" s="27">
        <v>1446.25</v>
      </c>
      <c r="Z119" s="22">
        <f t="shared" ref="Z119:Z169" si="11">LN(Y119/Y118)+1</f>
        <v>0.98606811463556077</v>
      </c>
    </row>
    <row r="120" spans="1:26" x14ac:dyDescent="0.35">
      <c r="A120">
        <v>119</v>
      </c>
      <c r="B120" s="6">
        <v>1149919.3434811914</v>
      </c>
      <c r="C120" s="6">
        <v>1427119.0638647019</v>
      </c>
      <c r="D120" s="6">
        <v>1593177.0749754999</v>
      </c>
      <c r="E120" s="6">
        <v>1763518.1277484568</v>
      </c>
      <c r="F120" s="6">
        <v>2000574.9072641551</v>
      </c>
      <c r="R120" s="13">
        <v>44144</v>
      </c>
      <c r="S120" s="27">
        <v>951.99</v>
      </c>
      <c r="T120" s="22">
        <f t="shared" si="10"/>
        <v>1.0144954608675087</v>
      </c>
      <c r="U120" s="13">
        <v>44390</v>
      </c>
      <c r="V120" s="27">
        <v>1297.54</v>
      </c>
      <c r="W120" s="22">
        <f t="shared" si="9"/>
        <v>1.0009561114752352</v>
      </c>
      <c r="X120" s="13">
        <v>44635</v>
      </c>
      <c r="Y120" s="27">
        <v>1452.74</v>
      </c>
      <c r="Z120" s="22">
        <f t="shared" si="11"/>
        <v>1.0044774289268208</v>
      </c>
    </row>
    <row r="121" spans="1:26" x14ac:dyDescent="0.35">
      <c r="A121">
        <v>120</v>
      </c>
      <c r="B121" s="6">
        <v>1151940.8287364491</v>
      </c>
      <c r="C121" s="6">
        <v>1428397.4711861606</v>
      </c>
      <c r="D121" s="6">
        <v>1595151.6507603154</v>
      </c>
      <c r="E121" s="6">
        <v>1765736.8330096239</v>
      </c>
      <c r="F121" s="6">
        <v>2001216.8733084388</v>
      </c>
      <c r="R121" s="13">
        <v>44145</v>
      </c>
      <c r="S121" s="27">
        <v>951.9</v>
      </c>
      <c r="T121" s="22">
        <f t="shared" si="10"/>
        <v>0.99990545672274445</v>
      </c>
      <c r="U121" s="13">
        <v>44391</v>
      </c>
      <c r="V121" s="27">
        <v>1279.9100000000001</v>
      </c>
      <c r="W121" s="22">
        <f t="shared" si="9"/>
        <v>0.98631959886039078</v>
      </c>
      <c r="X121" s="13">
        <v>44636</v>
      </c>
      <c r="Y121" s="27">
        <v>1459.33</v>
      </c>
      <c r="Z121" s="22">
        <f t="shared" si="11"/>
        <v>1.0045259978293699</v>
      </c>
    </row>
    <row r="122" spans="1:26" x14ac:dyDescent="0.35">
      <c r="A122">
        <v>121</v>
      </c>
      <c r="B122" s="6">
        <v>1154400.0039422032</v>
      </c>
      <c r="C122" s="6">
        <v>1428945.3644615696</v>
      </c>
      <c r="D122" s="6">
        <v>1596755.6041265537</v>
      </c>
      <c r="E122" s="6">
        <v>1768859.7545122907</v>
      </c>
      <c r="F122" s="6">
        <v>2002080.8772875897</v>
      </c>
      <c r="R122" s="13">
        <v>44146</v>
      </c>
      <c r="S122" s="27">
        <v>952.22</v>
      </c>
      <c r="T122" s="22">
        <f t="shared" si="10"/>
        <v>1.0003361132733364</v>
      </c>
      <c r="U122" s="13">
        <v>44392</v>
      </c>
      <c r="V122" s="27">
        <v>1293.92</v>
      </c>
      <c r="W122" s="22">
        <f t="shared" si="9"/>
        <v>1.0108866074058889</v>
      </c>
      <c r="X122" s="13">
        <v>44637</v>
      </c>
      <c r="Y122" s="27">
        <v>1461.34</v>
      </c>
      <c r="Z122" s="22">
        <f t="shared" si="11"/>
        <v>1.0013763967290543</v>
      </c>
    </row>
    <row r="123" spans="1:26" x14ac:dyDescent="0.35">
      <c r="A123">
        <v>122</v>
      </c>
      <c r="B123" s="6">
        <v>1155232.2935751937</v>
      </c>
      <c r="C123" s="6">
        <v>1430567.6459498866</v>
      </c>
      <c r="D123" s="6">
        <v>1599549.5319814002</v>
      </c>
      <c r="E123" s="6">
        <v>1771341.7624600118</v>
      </c>
      <c r="F123" s="6">
        <v>2008297.8045764444</v>
      </c>
      <c r="R123" s="13">
        <v>44147</v>
      </c>
      <c r="S123" s="27">
        <v>959.28</v>
      </c>
      <c r="T123" s="22">
        <f t="shared" si="10"/>
        <v>1.0073869025405817</v>
      </c>
      <c r="U123" s="13">
        <v>44393</v>
      </c>
      <c r="V123" s="27">
        <v>1299.31</v>
      </c>
      <c r="W123" s="22">
        <f t="shared" si="9"/>
        <v>1.0041569839634965</v>
      </c>
      <c r="X123" s="13">
        <v>44638</v>
      </c>
      <c r="Y123" s="27">
        <v>1469.1</v>
      </c>
      <c r="Z123" s="22">
        <f t="shared" si="11"/>
        <v>1.0052961453832501</v>
      </c>
    </row>
    <row r="124" spans="1:26" x14ac:dyDescent="0.35">
      <c r="A124">
        <v>123</v>
      </c>
      <c r="B124" s="6">
        <v>1160563.5494839628</v>
      </c>
      <c r="C124" s="6">
        <v>1431148.6565513262</v>
      </c>
      <c r="D124" s="6">
        <v>1599887.1700309345</v>
      </c>
      <c r="E124" s="6">
        <v>1772070.4484989289</v>
      </c>
      <c r="F124" s="6">
        <v>2012533.2583459914</v>
      </c>
      <c r="R124" s="13">
        <v>44148</v>
      </c>
      <c r="S124" s="27">
        <v>966.29</v>
      </c>
      <c r="T124" s="22">
        <f t="shared" si="10"/>
        <v>1.007280993127561</v>
      </c>
      <c r="U124" s="13">
        <v>44396</v>
      </c>
      <c r="V124" s="27">
        <v>1243.51</v>
      </c>
      <c r="W124" s="22">
        <f t="shared" si="9"/>
        <v>0.95610467171756619</v>
      </c>
      <c r="X124" s="13">
        <v>44641</v>
      </c>
      <c r="Y124" s="27">
        <v>1494.95</v>
      </c>
      <c r="Z124" s="22">
        <f t="shared" si="11"/>
        <v>1.0174427930730616</v>
      </c>
    </row>
    <row r="125" spans="1:26" x14ac:dyDescent="0.35">
      <c r="A125">
        <v>124</v>
      </c>
      <c r="B125" s="6">
        <v>1165369.1143291069</v>
      </c>
      <c r="C125" s="6">
        <v>1433659.2467328366</v>
      </c>
      <c r="D125" s="6">
        <v>1600094.1966112549</v>
      </c>
      <c r="E125" s="6">
        <v>1772518.2658058065</v>
      </c>
      <c r="F125" s="6">
        <v>2015454.6536670015</v>
      </c>
      <c r="R125" s="13">
        <v>44151</v>
      </c>
      <c r="S125" s="27">
        <v>950.79</v>
      </c>
      <c r="T125" s="22">
        <f t="shared" si="10"/>
        <v>0.98382922177300924</v>
      </c>
      <c r="U125" s="13">
        <v>44397</v>
      </c>
      <c r="V125" s="27">
        <v>1273.29</v>
      </c>
      <c r="W125" s="22">
        <f t="shared" si="9"/>
        <v>1.0236660759112421</v>
      </c>
      <c r="X125" s="13">
        <v>44642</v>
      </c>
      <c r="Y125" s="27">
        <v>1503.78</v>
      </c>
      <c r="Z125" s="22">
        <f t="shared" si="11"/>
        <v>1.0058891767651328</v>
      </c>
    </row>
    <row r="126" spans="1:26" x14ac:dyDescent="0.35">
      <c r="A126">
        <v>125</v>
      </c>
      <c r="B126" s="6">
        <v>1170491.8456679995</v>
      </c>
      <c r="C126" s="6">
        <v>1433860.3389258271</v>
      </c>
      <c r="D126" s="6">
        <v>1600475.3670274303</v>
      </c>
      <c r="E126" s="6">
        <v>1773667.2524919426</v>
      </c>
      <c r="F126" s="6">
        <v>2021677.5464963475</v>
      </c>
      <c r="R126" s="13">
        <v>44152</v>
      </c>
      <c r="S126" s="27">
        <v>968.9</v>
      </c>
      <c r="T126" s="22">
        <f t="shared" si="10"/>
        <v>1.0188681894192104</v>
      </c>
      <c r="U126" s="13">
        <v>44398</v>
      </c>
      <c r="V126" s="27">
        <v>1270.79</v>
      </c>
      <c r="W126" s="22">
        <f t="shared" si="9"/>
        <v>0.99803465236572242</v>
      </c>
      <c r="X126" s="13">
        <v>44643</v>
      </c>
      <c r="Y126" s="27">
        <v>1502.34</v>
      </c>
      <c r="Z126" s="22">
        <f t="shared" si="11"/>
        <v>0.99904195433971887</v>
      </c>
    </row>
    <row r="127" spans="1:26" x14ac:dyDescent="0.35">
      <c r="A127">
        <v>126</v>
      </c>
      <c r="B127" s="6">
        <v>1171157.7649355487</v>
      </c>
      <c r="C127" s="6">
        <v>1435079.9948245354</v>
      </c>
      <c r="D127" s="6">
        <v>1600499.6783839283</v>
      </c>
      <c r="E127" s="6">
        <v>1774189.0139550152</v>
      </c>
      <c r="F127" s="6">
        <v>2026946.1958916294</v>
      </c>
      <c r="R127" s="13">
        <v>44153</v>
      </c>
      <c r="S127" s="27">
        <v>973.53</v>
      </c>
      <c r="T127" s="22">
        <f t="shared" si="10"/>
        <v>1.0047672335874591</v>
      </c>
      <c r="U127" s="13">
        <v>44399</v>
      </c>
      <c r="V127" s="27">
        <v>1293.67</v>
      </c>
      <c r="W127" s="22">
        <f t="shared" si="9"/>
        <v>1.0178443860474389</v>
      </c>
      <c r="X127" s="13">
        <v>44644</v>
      </c>
      <c r="Y127" s="27">
        <v>1498.26</v>
      </c>
      <c r="Z127" s="22">
        <f t="shared" si="11"/>
        <v>0.99728054221525508</v>
      </c>
    </row>
    <row r="128" spans="1:26" x14ac:dyDescent="0.35">
      <c r="A128">
        <v>127</v>
      </c>
      <c r="B128" s="6">
        <v>1174611.6447091207</v>
      </c>
      <c r="C128" s="6">
        <v>1435545.5837496491</v>
      </c>
      <c r="D128" s="6">
        <v>1601497.8101373229</v>
      </c>
      <c r="E128" s="6">
        <v>1775157.485331547</v>
      </c>
      <c r="F128" s="6">
        <v>2027363.0571837437</v>
      </c>
      <c r="R128" s="13">
        <v>44154</v>
      </c>
      <c r="S128" s="27">
        <v>983.26</v>
      </c>
      <c r="T128" s="22">
        <f t="shared" si="10"/>
        <v>1.0099449406352035</v>
      </c>
      <c r="U128" s="13">
        <v>44400</v>
      </c>
      <c r="V128" s="27">
        <v>1268.83</v>
      </c>
      <c r="W128" s="22">
        <f t="shared" si="9"/>
        <v>0.98061207563647956</v>
      </c>
      <c r="X128" s="13">
        <v>44645</v>
      </c>
      <c r="Y128" s="27">
        <v>1498.5</v>
      </c>
      <c r="Z128" s="22">
        <f t="shared" si="11"/>
        <v>1.0001601729871681</v>
      </c>
    </row>
    <row r="129" spans="1:26" x14ac:dyDescent="0.35">
      <c r="A129">
        <v>128</v>
      </c>
      <c r="B129" s="6">
        <v>1174695.9378979474</v>
      </c>
      <c r="C129" s="6">
        <v>1437580.0541517795</v>
      </c>
      <c r="D129" s="6">
        <v>1601704.7559344494</v>
      </c>
      <c r="E129" s="6">
        <v>1776562.8189396239</v>
      </c>
      <c r="F129" s="6">
        <v>2032164.8951311728</v>
      </c>
      <c r="R129" s="13">
        <v>44155</v>
      </c>
      <c r="S129" s="27">
        <v>990</v>
      </c>
      <c r="T129" s="22">
        <f t="shared" si="10"/>
        <v>1.0068313615150146</v>
      </c>
      <c r="U129" s="13">
        <v>44403</v>
      </c>
      <c r="V129" s="27">
        <v>1272.71</v>
      </c>
      <c r="W129" s="22">
        <f t="shared" si="9"/>
        <v>1.0030532692889034</v>
      </c>
      <c r="X129" s="13">
        <v>44648</v>
      </c>
      <c r="Y129" s="27">
        <v>1483.18</v>
      </c>
      <c r="Z129" s="22">
        <f t="shared" si="11"/>
        <v>0.98972382360581357</v>
      </c>
    </row>
    <row r="130" spans="1:26" x14ac:dyDescent="0.35">
      <c r="A130">
        <v>129</v>
      </c>
      <c r="B130" s="6">
        <v>1175373.5278762118</v>
      </c>
      <c r="C130" s="6">
        <v>1437856.6308168524</v>
      </c>
      <c r="D130" s="6">
        <v>1602090.5195459598</v>
      </c>
      <c r="E130" s="6">
        <v>1776645.8274390851</v>
      </c>
      <c r="F130" s="6">
        <v>2036618.8077315544</v>
      </c>
      <c r="R130" s="13">
        <v>44158</v>
      </c>
      <c r="S130" s="27">
        <v>994.19</v>
      </c>
      <c r="T130" s="22">
        <f t="shared" si="10"/>
        <v>1.0042233921429888</v>
      </c>
      <c r="U130" s="13">
        <v>44404</v>
      </c>
      <c r="V130" s="27">
        <v>1276.93</v>
      </c>
      <c r="W130" s="22">
        <f t="shared" si="9"/>
        <v>1.0033102742767865</v>
      </c>
      <c r="X130" s="13">
        <v>44649</v>
      </c>
      <c r="Y130" s="27">
        <v>1497.76</v>
      </c>
      <c r="Z130" s="22">
        <f t="shared" si="11"/>
        <v>1.0097822272609029</v>
      </c>
    </row>
    <row r="131" spans="1:26" x14ac:dyDescent="0.35">
      <c r="A131">
        <v>130</v>
      </c>
      <c r="B131" s="6">
        <v>1177549.0484090913</v>
      </c>
      <c r="C131" s="6">
        <v>1439689.0764950146</v>
      </c>
      <c r="D131" s="6">
        <v>1602526.7108701563</v>
      </c>
      <c r="E131" s="6">
        <v>1777054.4448934251</v>
      </c>
      <c r="F131" s="6">
        <v>2039020.3198049357</v>
      </c>
      <c r="R131" s="13">
        <v>44159</v>
      </c>
      <c r="S131" s="27">
        <v>995.76</v>
      </c>
      <c r="T131" s="22">
        <f t="shared" si="10"/>
        <v>1.0015779294210976</v>
      </c>
      <c r="U131" s="13">
        <v>44405</v>
      </c>
      <c r="V131" s="27">
        <v>1277.07</v>
      </c>
      <c r="W131" s="22">
        <f t="shared" si="9"/>
        <v>1.0001096319499923</v>
      </c>
      <c r="X131" s="13">
        <v>44650</v>
      </c>
      <c r="Y131" s="27">
        <v>1490.51</v>
      </c>
      <c r="Z131" s="22">
        <f t="shared" si="11"/>
        <v>0.99514768463018599</v>
      </c>
    </row>
    <row r="132" spans="1:26" x14ac:dyDescent="0.35">
      <c r="A132">
        <v>131</v>
      </c>
      <c r="B132" s="6">
        <v>1177701.2108857939</v>
      </c>
      <c r="C132" s="6">
        <v>1439787.3413648277</v>
      </c>
      <c r="D132" s="6">
        <v>1602778.8620153882</v>
      </c>
      <c r="E132" s="6">
        <v>1781500.4907581364</v>
      </c>
      <c r="F132" s="6">
        <v>2041295.5386267696</v>
      </c>
      <c r="R132" s="13">
        <v>44160</v>
      </c>
      <c r="S132" s="27">
        <v>999.94</v>
      </c>
      <c r="T132" s="22">
        <f t="shared" ref="T132:T163" si="12">LN(S132/S131)+1</f>
        <v>1.0041890124893429</v>
      </c>
      <c r="U132" s="13">
        <v>44406</v>
      </c>
      <c r="V132" s="27">
        <v>1293.5999999999999</v>
      </c>
      <c r="W132" s="22">
        <f t="shared" si="9"/>
        <v>1.0128606377577571</v>
      </c>
      <c r="X132" s="13">
        <v>44651</v>
      </c>
      <c r="Y132" s="27">
        <v>1492.15</v>
      </c>
      <c r="Z132" s="22">
        <f t="shared" si="11"/>
        <v>1.0010996896496909</v>
      </c>
    </row>
    <row r="133" spans="1:26" x14ac:dyDescent="0.35">
      <c r="A133">
        <v>132</v>
      </c>
      <c r="B133" s="6">
        <v>1180192.2268498549</v>
      </c>
      <c r="C133" s="6">
        <v>1440053.3346163887</v>
      </c>
      <c r="D133" s="6">
        <v>1602857.247010773</v>
      </c>
      <c r="E133" s="6">
        <v>1781718.0985244615</v>
      </c>
      <c r="F133" s="6">
        <v>2042743.1225292361</v>
      </c>
      <c r="R133" s="13">
        <v>44161</v>
      </c>
      <c r="S133" s="27">
        <v>1005.97</v>
      </c>
      <c r="T133" s="22">
        <f t="shared" si="12"/>
        <v>1.0060122519594037</v>
      </c>
      <c r="U133" s="13">
        <v>44407</v>
      </c>
      <c r="V133" s="27">
        <v>1310.05</v>
      </c>
      <c r="W133" s="22">
        <f t="shared" si="9"/>
        <v>1.0126362751428544</v>
      </c>
      <c r="X133" s="13">
        <v>44652</v>
      </c>
      <c r="Y133" s="27">
        <v>1516.44</v>
      </c>
      <c r="Z133" s="22">
        <f t="shared" si="11"/>
        <v>1.0161474496552783</v>
      </c>
    </row>
    <row r="134" spans="1:26" x14ac:dyDescent="0.35">
      <c r="A134">
        <v>133</v>
      </c>
      <c r="B134" s="6">
        <v>1184837.8006301254</v>
      </c>
      <c r="C134" s="6">
        <v>1440546.5642049394</v>
      </c>
      <c r="D134" s="6">
        <v>1603325.1822843631</v>
      </c>
      <c r="E134" s="6">
        <v>1782422.8578799532</v>
      </c>
      <c r="F134" s="6">
        <v>2044355.8996144803</v>
      </c>
      <c r="R134" s="13">
        <v>44162</v>
      </c>
      <c r="S134" s="27">
        <v>1010.22</v>
      </c>
      <c r="T134" s="22">
        <f t="shared" si="12"/>
        <v>1.0042158787562947</v>
      </c>
      <c r="U134" s="13">
        <v>44410</v>
      </c>
      <c r="V134" s="27">
        <v>1314.22</v>
      </c>
      <c r="W134" s="22">
        <f t="shared" si="9"/>
        <v>1.0031780293260255</v>
      </c>
      <c r="X134" s="13">
        <v>44655</v>
      </c>
      <c r="Y134" s="27">
        <v>1524.7</v>
      </c>
      <c r="Z134" s="22">
        <f t="shared" si="11"/>
        <v>1.0054321868192717</v>
      </c>
    </row>
    <row r="135" spans="1:26" x14ac:dyDescent="0.35">
      <c r="A135">
        <v>134</v>
      </c>
      <c r="B135" s="6">
        <v>1185069.3975889196</v>
      </c>
      <c r="C135" s="6">
        <v>1441937.5332044719</v>
      </c>
      <c r="D135" s="6">
        <v>1604397.2366781589</v>
      </c>
      <c r="E135" s="6">
        <v>1782614.0036723474</v>
      </c>
      <c r="F135" s="6">
        <v>2044861.7259154648</v>
      </c>
      <c r="R135" s="13">
        <v>44165</v>
      </c>
      <c r="S135" s="27">
        <v>1003.08</v>
      </c>
      <c r="T135" s="22">
        <f t="shared" si="12"/>
        <v>0.99290713760130178</v>
      </c>
      <c r="U135" s="13">
        <v>44411</v>
      </c>
      <c r="V135" s="27">
        <v>1332.44</v>
      </c>
      <c r="W135" s="22">
        <f t="shared" si="9"/>
        <v>1.0137685141518367</v>
      </c>
      <c r="X135" s="13">
        <v>44656</v>
      </c>
      <c r="Y135" s="27">
        <v>1520.03</v>
      </c>
      <c r="Z135" s="22">
        <f t="shared" si="11"/>
        <v>0.99693240210979694</v>
      </c>
    </row>
    <row r="136" spans="1:26" x14ac:dyDescent="0.35">
      <c r="A136">
        <v>135</v>
      </c>
      <c r="B136" s="6">
        <v>1186219.5304138102</v>
      </c>
      <c r="C136" s="6">
        <v>1442089.0340598891</v>
      </c>
      <c r="D136" s="6">
        <v>1604441.4854321831</v>
      </c>
      <c r="E136" s="6">
        <v>1787363.1733736743</v>
      </c>
      <c r="F136" s="6">
        <v>2047177.3134951137</v>
      </c>
      <c r="R136" s="13">
        <v>44166</v>
      </c>
      <c r="S136" s="27">
        <v>1008.87</v>
      </c>
      <c r="T136" s="22">
        <f t="shared" si="12"/>
        <v>1.0057556261178267</v>
      </c>
      <c r="U136" s="13">
        <v>44412</v>
      </c>
      <c r="V136" s="27">
        <v>1334.74</v>
      </c>
      <c r="W136" s="22">
        <f t="shared" si="9"/>
        <v>1.0017246684289089</v>
      </c>
      <c r="X136" s="13">
        <v>44657</v>
      </c>
      <c r="Y136" s="27">
        <v>1522.9</v>
      </c>
      <c r="Z136" s="22">
        <f t="shared" si="11"/>
        <v>1.0018863403699867</v>
      </c>
    </row>
    <row r="137" spans="1:26" x14ac:dyDescent="0.35">
      <c r="A137">
        <v>136</v>
      </c>
      <c r="B137" s="6">
        <v>1189081.3229101305</v>
      </c>
      <c r="C137" s="6">
        <v>1442478.5055446392</v>
      </c>
      <c r="D137" s="6">
        <v>1606836.6351867311</v>
      </c>
      <c r="E137" s="6">
        <v>1789967.1947514133</v>
      </c>
      <c r="F137" s="6">
        <v>2048763.4801855814</v>
      </c>
      <c r="R137" s="13">
        <v>44167</v>
      </c>
      <c r="S137" s="27">
        <v>1014.32</v>
      </c>
      <c r="T137" s="22">
        <f t="shared" si="12"/>
        <v>1.0053875446028009</v>
      </c>
      <c r="U137" s="13">
        <v>44413</v>
      </c>
      <c r="V137" s="27">
        <v>1345.55</v>
      </c>
      <c r="W137" s="22">
        <f t="shared" si="9"/>
        <v>1.0080663350707149</v>
      </c>
      <c r="X137" s="13">
        <v>44658</v>
      </c>
      <c r="Y137" s="27">
        <v>1502.35</v>
      </c>
      <c r="Z137" s="22">
        <f t="shared" si="11"/>
        <v>0.9864141369573618</v>
      </c>
    </row>
    <row r="138" spans="1:26" x14ac:dyDescent="0.35">
      <c r="A138">
        <v>137</v>
      </c>
      <c r="B138" s="6">
        <v>1189657.0559218251</v>
      </c>
      <c r="C138" s="6">
        <v>1442641.0584611329</v>
      </c>
      <c r="D138" s="6">
        <v>1608234.3211651277</v>
      </c>
      <c r="E138" s="6">
        <v>1790754.8847066814</v>
      </c>
      <c r="F138" s="6">
        <v>2056078.299357505</v>
      </c>
      <c r="R138" s="13">
        <v>44168</v>
      </c>
      <c r="S138" s="27">
        <v>1019.8</v>
      </c>
      <c r="T138" s="22">
        <f t="shared" si="12"/>
        <v>1.0053880924013627</v>
      </c>
      <c r="U138" s="13">
        <v>44414</v>
      </c>
      <c r="V138" s="27">
        <v>1341.45</v>
      </c>
      <c r="W138" s="22">
        <f t="shared" si="9"/>
        <v>0.99694826707706263</v>
      </c>
      <c r="X138" s="13">
        <v>44659</v>
      </c>
      <c r="Y138" s="27">
        <v>1482</v>
      </c>
      <c r="Z138" s="22">
        <f t="shared" si="11"/>
        <v>0.9863619780410251</v>
      </c>
    </row>
    <row r="139" spans="1:26" x14ac:dyDescent="0.35">
      <c r="A139">
        <v>138</v>
      </c>
      <c r="B139" s="6">
        <v>1190100.7917733579</v>
      </c>
      <c r="C139" s="6">
        <v>1443025.6419548402</v>
      </c>
      <c r="D139" s="6">
        <v>1608952.6070262729</v>
      </c>
      <c r="E139" s="6">
        <v>1791910.9255848855</v>
      </c>
      <c r="F139" s="6">
        <v>2058863.0714445147</v>
      </c>
      <c r="R139" s="13">
        <v>44169</v>
      </c>
      <c r="S139" s="27">
        <v>1021.49</v>
      </c>
      <c r="T139" s="22">
        <f t="shared" si="12"/>
        <v>1.0016558160634956</v>
      </c>
      <c r="U139" s="13">
        <v>44417</v>
      </c>
      <c r="V139" s="27">
        <v>1359.86</v>
      </c>
      <c r="W139" s="22">
        <f t="shared" si="9"/>
        <v>1.0136306347945208</v>
      </c>
      <c r="X139" s="13">
        <v>44663</v>
      </c>
      <c r="Y139" s="27">
        <v>1455.25</v>
      </c>
      <c r="Z139" s="22">
        <f t="shared" si="11"/>
        <v>0.98178518029581263</v>
      </c>
    </row>
    <row r="140" spans="1:26" x14ac:dyDescent="0.35">
      <c r="A140">
        <v>139</v>
      </c>
      <c r="B140" s="6">
        <v>1191258.6746897344</v>
      </c>
      <c r="C140" s="6">
        <v>1444295.1544299291</v>
      </c>
      <c r="D140" s="6">
        <v>1609623.8969595823</v>
      </c>
      <c r="E140" s="6">
        <v>1793522.1955976267</v>
      </c>
      <c r="F140" s="6">
        <v>2063560.0409124903</v>
      </c>
      <c r="R140" s="13">
        <v>44172</v>
      </c>
      <c r="S140" s="27">
        <v>1029.98</v>
      </c>
      <c r="T140" s="22">
        <f t="shared" si="12"/>
        <v>1.0082770388748807</v>
      </c>
      <c r="U140" s="13">
        <v>44418</v>
      </c>
      <c r="V140" s="27">
        <v>1362.43</v>
      </c>
      <c r="W140" s="22">
        <f t="shared" si="9"/>
        <v>1.0018881168159901</v>
      </c>
      <c r="X140" s="13">
        <v>44664</v>
      </c>
      <c r="Y140" s="27">
        <v>1477.2</v>
      </c>
      <c r="Z140" s="22">
        <f t="shared" si="11"/>
        <v>1.0149706968265633</v>
      </c>
    </row>
    <row r="141" spans="1:26" x14ac:dyDescent="0.35">
      <c r="A141">
        <v>140</v>
      </c>
      <c r="B141" s="6">
        <v>1191494.813127215</v>
      </c>
      <c r="C141" s="6">
        <v>1445834.1028850465</v>
      </c>
      <c r="D141" s="6">
        <v>1612224.1586825424</v>
      </c>
      <c r="E141" s="6">
        <v>1794164.8787073595</v>
      </c>
      <c r="F141" s="6">
        <v>2063739.7990292339</v>
      </c>
      <c r="R141" s="13">
        <v>44173</v>
      </c>
      <c r="S141" s="27">
        <v>1029.26</v>
      </c>
      <c r="T141" s="22">
        <f t="shared" si="12"/>
        <v>0.99930071285586897</v>
      </c>
      <c r="U141" s="13">
        <v>44419</v>
      </c>
      <c r="V141" s="27">
        <v>1357.79</v>
      </c>
      <c r="W141" s="22">
        <f t="shared" si="9"/>
        <v>0.99658850791470288</v>
      </c>
      <c r="X141" s="13">
        <v>44665</v>
      </c>
      <c r="Y141" s="27">
        <v>1472.12</v>
      </c>
      <c r="Z141" s="22">
        <f t="shared" si="11"/>
        <v>0.99655513472682733</v>
      </c>
    </row>
    <row r="142" spans="1:26" x14ac:dyDescent="0.35">
      <c r="A142">
        <v>141</v>
      </c>
      <c r="B142" s="6">
        <v>1194021.0910666008</v>
      </c>
      <c r="C142" s="6">
        <v>1446219.8072676156</v>
      </c>
      <c r="D142" s="6">
        <v>1612355.5392494337</v>
      </c>
      <c r="E142" s="6">
        <v>1797600.42267757</v>
      </c>
      <c r="F142" s="6">
        <v>2063890.2592677546</v>
      </c>
      <c r="R142" s="13">
        <v>44174</v>
      </c>
      <c r="S142" s="27">
        <v>1039.1300000000001</v>
      </c>
      <c r="T142" s="22">
        <f t="shared" si="12"/>
        <v>1.0095437271650223</v>
      </c>
      <c r="U142" s="13">
        <v>44420</v>
      </c>
      <c r="V142" s="27">
        <v>1353.05</v>
      </c>
      <c r="W142" s="22">
        <f t="shared" si="9"/>
        <v>0.99650292541746199</v>
      </c>
      <c r="X142" s="13">
        <v>44666</v>
      </c>
      <c r="Y142" s="27">
        <v>1458.56</v>
      </c>
      <c r="Z142" s="22">
        <f t="shared" si="11"/>
        <v>0.99074610891202919</v>
      </c>
    </row>
    <row r="143" spans="1:26" x14ac:dyDescent="0.35">
      <c r="A143">
        <v>142</v>
      </c>
      <c r="B143" s="6">
        <v>1194845.2128427732</v>
      </c>
      <c r="C143" s="6">
        <v>1446285.8844520207</v>
      </c>
      <c r="D143" s="6">
        <v>1612605.0016025763</v>
      </c>
      <c r="E143" s="6">
        <v>1798387.6701725856</v>
      </c>
      <c r="F143" s="6">
        <v>2063952.7883769134</v>
      </c>
      <c r="R143" s="13">
        <v>44175</v>
      </c>
      <c r="S143" s="27">
        <v>1030.9100000000001</v>
      </c>
      <c r="T143" s="22">
        <f t="shared" si="12"/>
        <v>0.9920580827368759</v>
      </c>
      <c r="U143" s="13">
        <v>44421</v>
      </c>
      <c r="V143" s="27">
        <v>1357.05</v>
      </c>
      <c r="W143" s="22">
        <f t="shared" si="9"/>
        <v>1.0029519227368846</v>
      </c>
      <c r="X143" s="13">
        <v>44669</v>
      </c>
      <c r="Y143" s="27">
        <v>1432.6</v>
      </c>
      <c r="Z143" s="22">
        <f t="shared" si="11"/>
        <v>0.98204132756308604</v>
      </c>
    </row>
    <row r="144" spans="1:26" x14ac:dyDescent="0.35">
      <c r="A144">
        <v>143</v>
      </c>
      <c r="B144" s="6">
        <v>1195214.0230482309</v>
      </c>
      <c r="C144" s="6">
        <v>1447422.919768498</v>
      </c>
      <c r="D144" s="6">
        <v>1613141.1568382315</v>
      </c>
      <c r="E144" s="6">
        <v>1798756.1912449882</v>
      </c>
      <c r="F144" s="6">
        <v>2064038.2797642262</v>
      </c>
      <c r="R144" s="13">
        <v>44176</v>
      </c>
      <c r="S144" s="27">
        <v>1045.96</v>
      </c>
      <c r="T144" s="22">
        <f t="shared" si="12"/>
        <v>1.0144932166586849</v>
      </c>
      <c r="U144" s="13">
        <v>44424</v>
      </c>
      <c r="V144" s="27">
        <v>1370.96</v>
      </c>
      <c r="W144" s="22">
        <f t="shared" si="9"/>
        <v>1.0101979982127334</v>
      </c>
      <c r="X144" s="13">
        <v>44670</v>
      </c>
      <c r="Y144" s="27">
        <v>1406.45</v>
      </c>
      <c r="Z144" s="22">
        <f t="shared" si="11"/>
        <v>0.98157782388198023</v>
      </c>
    </row>
    <row r="145" spans="1:26" x14ac:dyDescent="0.35">
      <c r="A145">
        <v>144</v>
      </c>
      <c r="B145" s="6">
        <v>1196091.1107289058</v>
      </c>
      <c r="C145" s="6">
        <v>1448456.6032529443</v>
      </c>
      <c r="D145" s="6">
        <v>1614562.354891486</v>
      </c>
      <c r="E145" s="6">
        <v>1799083.9857168482</v>
      </c>
      <c r="F145" s="6">
        <v>2064116.061169676</v>
      </c>
      <c r="R145" s="13">
        <v>44179</v>
      </c>
      <c r="S145" s="27">
        <v>1064.0899999999999</v>
      </c>
      <c r="T145" s="22">
        <f t="shared" si="12"/>
        <v>1.0171848498146379</v>
      </c>
      <c r="U145" s="13">
        <v>44425</v>
      </c>
      <c r="V145" s="27">
        <v>1363.09</v>
      </c>
      <c r="W145" s="22">
        <f t="shared" si="9"/>
        <v>0.9942429569783805</v>
      </c>
      <c r="X145" s="13">
        <v>44671</v>
      </c>
      <c r="Y145" s="27">
        <v>1384.72</v>
      </c>
      <c r="Z145" s="22">
        <f t="shared" si="11"/>
        <v>0.98442915405581233</v>
      </c>
    </row>
    <row r="146" spans="1:26" x14ac:dyDescent="0.35">
      <c r="A146">
        <v>145</v>
      </c>
      <c r="B146" s="6">
        <v>1197446.0926521532</v>
      </c>
      <c r="C146" s="6">
        <v>1448558.0038303172</v>
      </c>
      <c r="D146" s="6">
        <v>1615254.8041449375</v>
      </c>
      <c r="E146" s="6">
        <v>1799232.4327045763</v>
      </c>
      <c r="F146" s="6">
        <v>2065513.261734535</v>
      </c>
      <c r="R146" s="13">
        <v>44180</v>
      </c>
      <c r="S146" s="27">
        <v>1055.27</v>
      </c>
      <c r="T146" s="22">
        <f t="shared" si="12"/>
        <v>0.9916766845472571</v>
      </c>
      <c r="U146" s="13">
        <v>44426</v>
      </c>
      <c r="V146" s="27">
        <v>1360.94</v>
      </c>
      <c r="W146" s="22">
        <f t="shared" si="9"/>
        <v>0.99842145611726185</v>
      </c>
      <c r="X146" s="13">
        <v>44672</v>
      </c>
      <c r="Y146" s="27">
        <v>1370.21</v>
      </c>
      <c r="Z146" s="22">
        <f t="shared" si="11"/>
        <v>0.9894660596286653</v>
      </c>
    </row>
    <row r="147" spans="1:26" x14ac:dyDescent="0.35">
      <c r="A147">
        <v>146</v>
      </c>
      <c r="B147" s="6">
        <v>1201008.8449685313</v>
      </c>
      <c r="C147" s="6">
        <v>1450331.8086942565</v>
      </c>
      <c r="D147" s="6">
        <v>1616140.1695932359</v>
      </c>
      <c r="E147" s="6">
        <v>1799279.4025040413</v>
      </c>
      <c r="F147" s="6">
        <v>2069629.4348931934</v>
      </c>
      <c r="R147" s="13">
        <v>44181</v>
      </c>
      <c r="S147" s="27">
        <v>1066.99</v>
      </c>
      <c r="T147" s="22">
        <f t="shared" si="12"/>
        <v>1.0110449418488288</v>
      </c>
      <c r="U147" s="13">
        <v>44427</v>
      </c>
      <c r="V147" s="27">
        <v>1374.85</v>
      </c>
      <c r="W147" s="22">
        <f t="shared" si="9"/>
        <v>1.0101689967924985</v>
      </c>
      <c r="X147" s="13">
        <v>44673</v>
      </c>
      <c r="Y147" s="27">
        <v>1379.23</v>
      </c>
      <c r="Z147" s="22">
        <f t="shared" si="11"/>
        <v>1.0065613596661935</v>
      </c>
    </row>
    <row r="148" spans="1:26" x14ac:dyDescent="0.35">
      <c r="A148">
        <v>147</v>
      </c>
      <c r="B148" s="6">
        <v>1202283.167886066</v>
      </c>
      <c r="C148" s="6">
        <v>1451548.2210355611</v>
      </c>
      <c r="D148" s="6">
        <v>1617840.0777785799</v>
      </c>
      <c r="E148" s="6">
        <v>1799338.2876496234</v>
      </c>
      <c r="F148" s="6">
        <v>2069863.7768174515</v>
      </c>
      <c r="R148" s="13">
        <v>44182</v>
      </c>
      <c r="S148" s="27">
        <v>1051.77</v>
      </c>
      <c r="T148" s="22">
        <f t="shared" si="12"/>
        <v>0.98563285902906017</v>
      </c>
      <c r="U148" s="13">
        <v>44428</v>
      </c>
      <c r="V148" s="27">
        <v>1329.43</v>
      </c>
      <c r="W148" s="22">
        <f t="shared" si="9"/>
        <v>0.9664056446835112</v>
      </c>
      <c r="X148" s="13">
        <v>44676</v>
      </c>
      <c r="Y148" s="27">
        <v>1310.92</v>
      </c>
      <c r="Z148" s="22">
        <f t="shared" si="11"/>
        <v>0.94920380836825369</v>
      </c>
    </row>
    <row r="149" spans="1:26" x14ac:dyDescent="0.35">
      <c r="A149">
        <v>148</v>
      </c>
      <c r="B149" s="6">
        <v>1202767.9693543219</v>
      </c>
      <c r="C149" s="6">
        <v>1451832.719845105</v>
      </c>
      <c r="D149" s="6">
        <v>1618955.1422946439</v>
      </c>
      <c r="E149" s="6">
        <v>1799449.6548852264</v>
      </c>
      <c r="F149" s="6">
        <v>2072986.6200717371</v>
      </c>
      <c r="R149" s="13">
        <v>44183</v>
      </c>
      <c r="S149" s="27">
        <v>1067.46</v>
      </c>
      <c r="T149" s="22">
        <f t="shared" si="12"/>
        <v>1.0148075354590713</v>
      </c>
      <c r="U149" s="13">
        <v>44431</v>
      </c>
      <c r="V149" s="27">
        <v>1298.8599999999999</v>
      </c>
      <c r="W149" s="22">
        <f t="shared" si="9"/>
        <v>0.97673667772648687</v>
      </c>
      <c r="X149" s="13">
        <v>44677</v>
      </c>
      <c r="Y149" s="27">
        <v>1341.34</v>
      </c>
      <c r="Z149" s="22">
        <f t="shared" si="11"/>
        <v>1.0229399334967846</v>
      </c>
    </row>
    <row r="150" spans="1:26" x14ac:dyDescent="0.35">
      <c r="A150">
        <v>149</v>
      </c>
      <c r="B150" s="6">
        <v>1203859.6549847701</v>
      </c>
      <c r="C150" s="6">
        <v>1452364.0051285555</v>
      </c>
      <c r="D150" s="6">
        <v>1623751.0686058332</v>
      </c>
      <c r="E150" s="6">
        <v>1800155.3967787775</v>
      </c>
      <c r="F150" s="6">
        <v>2075250.2349137352</v>
      </c>
      <c r="R150" s="13">
        <v>44186</v>
      </c>
      <c r="S150" s="27">
        <v>1081.08</v>
      </c>
      <c r="T150" s="22">
        <f t="shared" si="12"/>
        <v>1.0126785467766097</v>
      </c>
      <c r="U150" s="13">
        <v>44432</v>
      </c>
      <c r="V150" s="27">
        <v>1298.74</v>
      </c>
      <c r="W150" s="22">
        <f t="shared" si="9"/>
        <v>0.9999076070218007</v>
      </c>
      <c r="X150" s="13">
        <v>44678</v>
      </c>
      <c r="Y150" s="27">
        <v>1353.77</v>
      </c>
      <c r="Z150" s="22">
        <f t="shared" si="11"/>
        <v>1.0092241787045753</v>
      </c>
    </row>
    <row r="151" spans="1:26" x14ac:dyDescent="0.35">
      <c r="A151">
        <v>150</v>
      </c>
      <c r="B151" s="6">
        <v>1207680.8928769517</v>
      </c>
      <c r="C151" s="6">
        <v>1453098.3963650111</v>
      </c>
      <c r="D151" s="6">
        <v>1625947.115436652</v>
      </c>
      <c r="E151" s="6">
        <v>1800481.3014934617</v>
      </c>
      <c r="F151" s="6">
        <v>2075940.6961244617</v>
      </c>
      <c r="R151" s="13">
        <v>44187</v>
      </c>
      <c r="S151" s="27">
        <v>1083.45</v>
      </c>
      <c r="T151" s="22">
        <f t="shared" si="12"/>
        <v>1.0021898527136168</v>
      </c>
      <c r="U151" s="13">
        <v>44433</v>
      </c>
      <c r="V151" s="27">
        <v>1309.55</v>
      </c>
      <c r="W151" s="22">
        <f t="shared" si="9"/>
        <v>1.0082890030587088</v>
      </c>
      <c r="X151" s="13">
        <v>44679</v>
      </c>
      <c r="Y151" s="27">
        <v>1350.99</v>
      </c>
      <c r="Z151" s="22">
        <f t="shared" si="11"/>
        <v>0.9979443640256882</v>
      </c>
    </row>
    <row r="152" spans="1:26" x14ac:dyDescent="0.35">
      <c r="A152">
        <v>151</v>
      </c>
      <c r="B152" s="6">
        <v>1216796.6184093247</v>
      </c>
      <c r="C152" s="6">
        <v>1453461.7367857918</v>
      </c>
      <c r="D152" s="6">
        <v>1626380.6099411845</v>
      </c>
      <c r="E152" s="6">
        <v>1801353.3535744862</v>
      </c>
      <c r="F152" s="6">
        <v>2077030.629177297</v>
      </c>
      <c r="R152" s="13">
        <v>44188</v>
      </c>
      <c r="S152" s="27">
        <v>1078.9000000000001</v>
      </c>
      <c r="T152" s="22">
        <f t="shared" si="12"/>
        <v>0.99579160939232891</v>
      </c>
      <c r="U152" s="13">
        <v>44434</v>
      </c>
      <c r="V152" s="27">
        <v>1301.1199999999999</v>
      </c>
      <c r="W152" s="22">
        <f t="shared" si="9"/>
        <v>0.99354186526868471</v>
      </c>
      <c r="X152" s="13">
        <v>44680</v>
      </c>
      <c r="Y152" s="27">
        <v>1366.8</v>
      </c>
      <c r="Z152" s="22">
        <f t="shared" si="11"/>
        <v>1.0116345842328327</v>
      </c>
    </row>
    <row r="153" spans="1:26" x14ac:dyDescent="0.35">
      <c r="A153">
        <v>152</v>
      </c>
      <c r="B153" s="6">
        <v>1217907.0557921201</v>
      </c>
      <c r="C153" s="6">
        <v>1454683.1566521234</v>
      </c>
      <c r="D153" s="6">
        <v>1627084.6702041859</v>
      </c>
      <c r="E153" s="6">
        <v>1801437.0749781143</v>
      </c>
      <c r="F153" s="6">
        <v>2077160.3125897634</v>
      </c>
      <c r="R153" s="13">
        <v>44189</v>
      </c>
      <c r="S153" s="27">
        <v>1067.52</v>
      </c>
      <c r="T153" s="22">
        <f t="shared" si="12"/>
        <v>0.98939619773297804</v>
      </c>
      <c r="U153" s="13">
        <v>44435</v>
      </c>
      <c r="V153" s="27">
        <v>1313.2</v>
      </c>
      <c r="W153" s="22">
        <f t="shared" si="9"/>
        <v>1.0092414746275105</v>
      </c>
      <c r="X153" s="13">
        <v>44685</v>
      </c>
      <c r="Y153" s="27">
        <v>1348.68</v>
      </c>
      <c r="Z153" s="22">
        <f t="shared" si="11"/>
        <v>0.98665409507703938</v>
      </c>
    </row>
    <row r="154" spans="1:26" x14ac:dyDescent="0.35">
      <c r="A154">
        <v>153</v>
      </c>
      <c r="B154" s="6">
        <v>1218518.3952066887</v>
      </c>
      <c r="C154" s="6">
        <v>1454728.4970855806</v>
      </c>
      <c r="D154" s="6">
        <v>1628768.6984356989</v>
      </c>
      <c r="E154" s="6">
        <v>1801501.1130357925</v>
      </c>
      <c r="F154" s="6">
        <v>2081078.3002896032</v>
      </c>
      <c r="R154" s="13">
        <v>44190</v>
      </c>
      <c r="S154" s="27">
        <v>1084.42</v>
      </c>
      <c r="T154" s="22">
        <f t="shared" si="12"/>
        <v>1.015707080542988</v>
      </c>
      <c r="U154" s="13">
        <v>44438</v>
      </c>
      <c r="V154" s="27">
        <v>1328.14</v>
      </c>
      <c r="W154" s="22">
        <f t="shared" si="9"/>
        <v>1.011312560539213</v>
      </c>
      <c r="X154" s="13">
        <v>44686</v>
      </c>
      <c r="Y154" s="27">
        <v>1360.68</v>
      </c>
      <c r="Z154" s="22">
        <f t="shared" si="11"/>
        <v>1.0088582384535727</v>
      </c>
    </row>
    <row r="155" spans="1:26" x14ac:dyDescent="0.35">
      <c r="A155">
        <v>154</v>
      </c>
      <c r="B155" s="6">
        <v>1220233.0470781417</v>
      </c>
      <c r="C155" s="6">
        <v>1455738.4119051585</v>
      </c>
      <c r="D155" s="6">
        <v>1629353.9157679901</v>
      </c>
      <c r="E155" s="6">
        <v>1803700.1752866337</v>
      </c>
      <c r="F155" s="6">
        <v>2082443.7665548006</v>
      </c>
      <c r="R155" s="13">
        <v>44193</v>
      </c>
      <c r="S155" s="27">
        <v>1091.33</v>
      </c>
      <c r="T155" s="22">
        <f t="shared" si="12"/>
        <v>1.0063518540572993</v>
      </c>
      <c r="U155" s="13">
        <v>44439</v>
      </c>
      <c r="V155" s="27">
        <v>1331.47</v>
      </c>
      <c r="W155" s="22">
        <f t="shared" si="9"/>
        <v>1.0025041278534121</v>
      </c>
      <c r="X155" s="13">
        <v>44687</v>
      </c>
      <c r="Y155" s="27">
        <v>1329.26</v>
      </c>
      <c r="Z155" s="22">
        <f t="shared" si="11"/>
        <v>0.97663782162370905</v>
      </c>
    </row>
    <row r="156" spans="1:26" x14ac:dyDescent="0.35">
      <c r="A156">
        <v>155</v>
      </c>
      <c r="B156" s="6">
        <v>1222100.3758796235</v>
      </c>
      <c r="C156" s="6">
        <v>1455761.901058442</v>
      </c>
      <c r="D156" s="6">
        <v>1629580.7648303811</v>
      </c>
      <c r="E156" s="6">
        <v>1803994.0703440793</v>
      </c>
      <c r="F156" s="6">
        <v>2086763.7158111613</v>
      </c>
      <c r="R156" s="13">
        <v>44194</v>
      </c>
      <c r="S156" s="27">
        <v>1099.49</v>
      </c>
      <c r="T156" s="22">
        <f t="shared" si="12"/>
        <v>1.0074493000196945</v>
      </c>
      <c r="U156" s="13">
        <v>44440</v>
      </c>
      <c r="V156" s="27">
        <v>1334.65</v>
      </c>
      <c r="W156" s="22">
        <f t="shared" si="9"/>
        <v>1.0023854901564815</v>
      </c>
      <c r="X156" s="13">
        <v>44690</v>
      </c>
      <c r="Y156" s="27">
        <v>1269.6199999999999</v>
      </c>
      <c r="Z156" s="22">
        <f t="shared" si="11"/>
        <v>0.95409524668573298</v>
      </c>
    </row>
    <row r="157" spans="1:26" x14ac:dyDescent="0.35">
      <c r="A157">
        <v>156</v>
      </c>
      <c r="B157" s="6">
        <v>1222435.8739322571</v>
      </c>
      <c r="C157" s="6">
        <v>1456421.0537513006</v>
      </c>
      <c r="D157" s="6">
        <v>1630062.5029954738</v>
      </c>
      <c r="E157" s="6">
        <v>1806971.8233940143</v>
      </c>
      <c r="F157" s="6">
        <v>2089193.6710732041</v>
      </c>
      <c r="R157" s="13">
        <v>44195</v>
      </c>
      <c r="S157" s="27">
        <v>1097.54</v>
      </c>
      <c r="T157" s="22">
        <f t="shared" si="12"/>
        <v>0.99822487584416397</v>
      </c>
      <c r="U157" s="13">
        <v>44445</v>
      </c>
      <c r="V157" s="27">
        <v>1346.39</v>
      </c>
      <c r="W157" s="22">
        <f t="shared" si="9"/>
        <v>1.0087578514591604</v>
      </c>
      <c r="X157" s="13">
        <v>44691</v>
      </c>
      <c r="Y157" s="27">
        <v>1293.56</v>
      </c>
      <c r="Z157" s="22">
        <f t="shared" si="11"/>
        <v>1.0186804642441352</v>
      </c>
    </row>
    <row r="158" spans="1:26" x14ac:dyDescent="0.35">
      <c r="A158">
        <v>157</v>
      </c>
      <c r="B158" s="6">
        <v>1224078.2204422753</v>
      </c>
      <c r="C158" s="6">
        <v>1457016.5003423283</v>
      </c>
      <c r="D158" s="6">
        <v>1630617.3281171748</v>
      </c>
      <c r="E158" s="6">
        <v>1807158.600777057</v>
      </c>
      <c r="F158" s="6">
        <v>2091361.591990252</v>
      </c>
      <c r="R158" s="13">
        <v>44196</v>
      </c>
      <c r="S158" s="27">
        <v>1103.8699999999999</v>
      </c>
      <c r="T158" s="22">
        <f t="shared" si="12"/>
        <v>1.0057508755259317</v>
      </c>
      <c r="U158" s="13">
        <v>44446</v>
      </c>
      <c r="V158" s="27">
        <v>1341.9</v>
      </c>
      <c r="W158" s="22">
        <f t="shared" ref="W158:W169" si="13">LN(V158/V157)+1</f>
        <v>0.99665958347120731</v>
      </c>
      <c r="X158" s="13">
        <v>44692</v>
      </c>
      <c r="Y158" s="27">
        <v>1301.53</v>
      </c>
      <c r="Z158" s="22">
        <f t="shared" si="11"/>
        <v>1.0061423881701856</v>
      </c>
    </row>
    <row r="159" spans="1:26" x14ac:dyDescent="0.35">
      <c r="A159">
        <v>158</v>
      </c>
      <c r="B159" s="6">
        <v>1227160.0863818277</v>
      </c>
      <c r="C159" s="6">
        <v>1459273.4803856798</v>
      </c>
      <c r="D159" s="6">
        <v>1631038.1563291326</v>
      </c>
      <c r="E159" s="6">
        <v>1807460.9322632221</v>
      </c>
      <c r="F159" s="6">
        <v>2096564.9049163179</v>
      </c>
      <c r="R159" s="13">
        <v>44200</v>
      </c>
      <c r="S159" s="27">
        <v>1120.47</v>
      </c>
      <c r="T159" s="22">
        <f t="shared" si="12"/>
        <v>1.0149260528404946</v>
      </c>
      <c r="U159" s="13">
        <v>44447</v>
      </c>
      <c r="V159" s="27">
        <v>1333.61</v>
      </c>
      <c r="W159" s="22">
        <f t="shared" si="13"/>
        <v>0.99380303080185839</v>
      </c>
      <c r="X159" s="13">
        <v>44693</v>
      </c>
      <c r="Y159" s="27">
        <v>1238.8399999999999</v>
      </c>
      <c r="Z159" s="22">
        <f t="shared" si="11"/>
        <v>0.95063496239448508</v>
      </c>
    </row>
    <row r="160" spans="1:26" x14ac:dyDescent="0.35">
      <c r="A160">
        <v>159</v>
      </c>
      <c r="B160" s="6">
        <v>1228236.7139928041</v>
      </c>
      <c r="C160" s="6">
        <v>1459412.8917893122</v>
      </c>
      <c r="D160" s="6">
        <v>1631755.9095119336</v>
      </c>
      <c r="E160" s="6">
        <v>1807784.1995882164</v>
      </c>
      <c r="F160" s="6">
        <v>2097338.6474312348</v>
      </c>
      <c r="R160" s="13">
        <v>44201</v>
      </c>
      <c r="S160" s="27">
        <v>1132.55</v>
      </c>
      <c r="T160" s="22">
        <f t="shared" si="12"/>
        <v>1.0107234873721322</v>
      </c>
      <c r="U160" s="13">
        <v>44448</v>
      </c>
      <c r="V160" s="27">
        <v>1343.98</v>
      </c>
      <c r="W160" s="22">
        <f t="shared" si="13"/>
        <v>1.0077458101112211</v>
      </c>
      <c r="X160" s="13">
        <v>44694</v>
      </c>
      <c r="Y160" s="27">
        <v>1182.77</v>
      </c>
      <c r="Z160" s="22">
        <f t="shared" si="11"/>
        <v>0.95368368722253283</v>
      </c>
    </row>
    <row r="161" spans="1:26" x14ac:dyDescent="0.35">
      <c r="A161">
        <v>160</v>
      </c>
      <c r="B161" s="6">
        <v>1232757.1314114714</v>
      </c>
      <c r="C161" s="6">
        <v>1459529.5434352709</v>
      </c>
      <c r="D161" s="6">
        <v>1632335.9167601445</v>
      </c>
      <c r="E161" s="6">
        <v>1807957.7332808841</v>
      </c>
      <c r="F161" s="6">
        <v>2102295.0160617973</v>
      </c>
      <c r="R161" s="13">
        <v>44202</v>
      </c>
      <c r="S161" s="27">
        <v>1143.21</v>
      </c>
      <c r="T161" s="22">
        <f t="shared" si="12"/>
        <v>1.0093683674602099</v>
      </c>
      <c r="U161" s="13">
        <v>44449</v>
      </c>
      <c r="V161" s="27">
        <v>1345.31</v>
      </c>
      <c r="W161" s="22">
        <f t="shared" si="13"/>
        <v>1.000989108730135</v>
      </c>
      <c r="X161" s="13">
        <v>44697</v>
      </c>
      <c r="Y161" s="27">
        <v>1171.95</v>
      </c>
      <c r="Z161" s="22">
        <f t="shared" si="11"/>
        <v>0.99080988299833361</v>
      </c>
    </row>
    <row r="162" spans="1:26" x14ac:dyDescent="0.35">
      <c r="A162">
        <v>161</v>
      </c>
      <c r="B162" s="6">
        <v>1234398.3562450726</v>
      </c>
      <c r="C162" s="6">
        <v>1459725.8875056722</v>
      </c>
      <c r="D162" s="6">
        <v>1632679.5517413344</v>
      </c>
      <c r="E162" s="6">
        <v>1809299.4594834088</v>
      </c>
      <c r="F162" s="6">
        <v>2103207.0484495722</v>
      </c>
      <c r="R162" s="13">
        <v>44203</v>
      </c>
      <c r="S162" s="27">
        <v>1156.49</v>
      </c>
      <c r="T162" s="22">
        <f t="shared" si="12"/>
        <v>1.0115494609018485</v>
      </c>
      <c r="U162" s="13">
        <v>44452</v>
      </c>
      <c r="V162" s="27">
        <v>1341.43</v>
      </c>
      <c r="W162" s="22">
        <f t="shared" si="13"/>
        <v>0.9971117393590283</v>
      </c>
      <c r="X162" s="13">
        <v>44698</v>
      </c>
      <c r="Y162" s="27">
        <v>1228.3699999999999</v>
      </c>
      <c r="Z162" s="22">
        <f t="shared" si="11"/>
        <v>1.0470190591452082</v>
      </c>
    </row>
    <row r="163" spans="1:26" x14ac:dyDescent="0.35">
      <c r="A163">
        <v>162</v>
      </c>
      <c r="B163" s="6">
        <v>1237172.9599773088</v>
      </c>
      <c r="C163" s="6">
        <v>1460058.9707960263</v>
      </c>
      <c r="D163" s="6">
        <v>1633041.1290576404</v>
      </c>
      <c r="E163" s="6">
        <v>1810335.9498831364</v>
      </c>
      <c r="F163" s="6">
        <v>2108122.1480858335</v>
      </c>
      <c r="R163" s="13">
        <v>44204</v>
      </c>
      <c r="S163" s="27">
        <v>1167.69</v>
      </c>
      <c r="T163" s="22">
        <f t="shared" si="12"/>
        <v>1.0096378823465109</v>
      </c>
      <c r="U163" s="13">
        <v>44453</v>
      </c>
      <c r="V163" s="27">
        <v>1339.7</v>
      </c>
      <c r="W163" s="22">
        <f t="shared" si="13"/>
        <v>0.9987094991737856</v>
      </c>
      <c r="X163" s="13">
        <v>44699</v>
      </c>
      <c r="Y163" s="27">
        <v>1240.76</v>
      </c>
      <c r="Z163" s="22">
        <f t="shared" si="11"/>
        <v>1.0100360078203463</v>
      </c>
    </row>
    <row r="164" spans="1:26" x14ac:dyDescent="0.35">
      <c r="A164">
        <v>163</v>
      </c>
      <c r="B164" s="6">
        <v>1237641.3807330593</v>
      </c>
      <c r="C164" s="6">
        <v>1460247.0596797033</v>
      </c>
      <c r="D164" s="6">
        <v>1635211.5469075688</v>
      </c>
      <c r="E164" s="6">
        <v>1810398.3586847684</v>
      </c>
      <c r="F164" s="6">
        <v>2109890.4943339485</v>
      </c>
      <c r="R164" s="13">
        <v>44207</v>
      </c>
      <c r="S164" s="27">
        <v>1184.8900000000001</v>
      </c>
      <c r="T164" s="22">
        <f t="shared" ref="T164:T169" si="14">LN(S164/S163)+1</f>
        <v>1.0146225050547728</v>
      </c>
      <c r="U164" s="13">
        <v>44454</v>
      </c>
      <c r="V164" s="27">
        <v>1345.83</v>
      </c>
      <c r="W164" s="22">
        <f t="shared" si="13"/>
        <v>1.0045652147966091</v>
      </c>
      <c r="X164" s="13">
        <v>44700</v>
      </c>
      <c r="Y164" s="27">
        <v>1241.6400000000001</v>
      </c>
      <c r="Z164" s="22">
        <f t="shared" si="11"/>
        <v>1.0007089913284422</v>
      </c>
    </row>
    <row r="165" spans="1:26" x14ac:dyDescent="0.35">
      <c r="A165">
        <v>164</v>
      </c>
      <c r="B165" s="6">
        <v>1238821.5938999089</v>
      </c>
      <c r="C165" s="6">
        <v>1460247.2176201222</v>
      </c>
      <c r="D165" s="6">
        <v>1635477.1224937604</v>
      </c>
      <c r="E165" s="6">
        <v>1810652.8503449666</v>
      </c>
      <c r="F165" s="6">
        <v>2111628.8667070484</v>
      </c>
      <c r="R165" s="13">
        <v>44208</v>
      </c>
      <c r="S165" s="27">
        <v>1192.28</v>
      </c>
      <c r="T165" s="22">
        <f t="shared" si="14"/>
        <v>1.0062174971133071</v>
      </c>
      <c r="U165" s="13">
        <v>44455</v>
      </c>
      <c r="V165" s="27">
        <v>1345.87</v>
      </c>
      <c r="W165" s="22">
        <f t="shared" si="13"/>
        <v>1.0000297209941693</v>
      </c>
      <c r="X165" s="13">
        <v>44701</v>
      </c>
      <c r="Y165" s="27">
        <v>1240.71</v>
      </c>
      <c r="Z165" s="22">
        <f t="shared" si="11"/>
        <v>0.9992507099776331</v>
      </c>
    </row>
    <row r="166" spans="1:26" x14ac:dyDescent="0.35">
      <c r="A166">
        <v>165</v>
      </c>
      <c r="B166" s="6">
        <v>1239019.59083348</v>
      </c>
      <c r="C166" s="6">
        <v>1461096.4904267024</v>
      </c>
      <c r="D166" s="6">
        <v>1636022.8833675946</v>
      </c>
      <c r="E166" s="6">
        <v>1812482.2935345611</v>
      </c>
      <c r="F166" s="6">
        <v>2112936.8801874314</v>
      </c>
      <c r="R166" s="13">
        <v>44209</v>
      </c>
      <c r="S166" s="27">
        <v>1186.05</v>
      </c>
      <c r="T166" s="22">
        <f t="shared" si="14"/>
        <v>0.99476101781541926</v>
      </c>
      <c r="U166" s="13">
        <v>44456</v>
      </c>
      <c r="V166" s="27">
        <v>1352.64</v>
      </c>
      <c r="W166" s="22">
        <f t="shared" si="13"/>
        <v>1.0050175943047066</v>
      </c>
      <c r="X166" s="13">
        <v>44704</v>
      </c>
      <c r="Y166" s="27">
        <v>1218.81</v>
      </c>
      <c r="Z166" s="22">
        <f t="shared" si="11"/>
        <v>0.98219117648700038</v>
      </c>
    </row>
    <row r="167" spans="1:26" x14ac:dyDescent="0.35">
      <c r="A167">
        <v>166</v>
      </c>
      <c r="B167" s="6">
        <v>1239596.94537089</v>
      </c>
      <c r="C167" s="6">
        <v>1461974.7506265724</v>
      </c>
      <c r="D167" s="6">
        <v>1638218.0327508196</v>
      </c>
      <c r="E167" s="6">
        <v>1813670.5775926064</v>
      </c>
      <c r="F167" s="6">
        <v>2117904.4525069566</v>
      </c>
      <c r="R167" s="13">
        <v>44210</v>
      </c>
      <c r="S167" s="27">
        <v>1187.4000000000001</v>
      </c>
      <c r="T167" s="22">
        <f t="shared" si="14"/>
        <v>1.0011375846515294</v>
      </c>
      <c r="U167" s="13">
        <v>44459</v>
      </c>
      <c r="V167" s="27">
        <v>1350.48</v>
      </c>
      <c r="W167" s="22">
        <f t="shared" si="13"/>
        <v>0.99840184641470808</v>
      </c>
      <c r="X167" s="13">
        <v>44705</v>
      </c>
      <c r="Y167" s="27">
        <v>1233.3800000000001</v>
      </c>
      <c r="Z167" s="22">
        <f t="shared" si="11"/>
        <v>1.0118833952167181</v>
      </c>
    </row>
    <row r="168" spans="1:26" x14ac:dyDescent="0.35">
      <c r="A168">
        <v>167</v>
      </c>
      <c r="B168" s="6">
        <v>1241249.8112909277</v>
      </c>
      <c r="C168" s="6">
        <v>1466099.1258697174</v>
      </c>
      <c r="D168" s="6">
        <v>1640114.2421499486</v>
      </c>
      <c r="E168" s="6">
        <v>1814892.4600084703</v>
      </c>
      <c r="F168" s="6">
        <v>2118160.9819021062</v>
      </c>
      <c r="R168" s="13">
        <v>44211</v>
      </c>
      <c r="S168" s="27">
        <v>1194.2</v>
      </c>
      <c r="T168" s="22">
        <f t="shared" si="14"/>
        <v>1.0057104622763171</v>
      </c>
      <c r="U168" s="13">
        <v>44460</v>
      </c>
      <c r="V168" s="27">
        <v>1339.84</v>
      </c>
      <c r="W168" s="22">
        <f t="shared" si="13"/>
        <v>0.9920901190376451</v>
      </c>
      <c r="X168" s="13">
        <v>44706</v>
      </c>
      <c r="Y168" s="27">
        <v>1268.43</v>
      </c>
      <c r="Z168" s="22">
        <f t="shared" si="11"/>
        <v>1.0280215471431247</v>
      </c>
    </row>
    <row r="169" spans="1:26" x14ac:dyDescent="0.35">
      <c r="A169">
        <v>168</v>
      </c>
      <c r="B169" s="6">
        <v>1241509.3042471467</v>
      </c>
      <c r="C169" s="6">
        <v>1466561.7183924366</v>
      </c>
      <c r="D169" s="6">
        <v>1640427.4834818321</v>
      </c>
      <c r="E169" s="6">
        <v>1817343.7889603032</v>
      </c>
      <c r="F169" s="6">
        <v>2118493.7638928699</v>
      </c>
      <c r="R169" s="13">
        <v>44214</v>
      </c>
      <c r="S169" s="27">
        <v>1191.94</v>
      </c>
      <c r="T169" s="22">
        <f t="shared" si="14"/>
        <v>0.99810572667505582</v>
      </c>
      <c r="U169" s="13">
        <v>44461</v>
      </c>
      <c r="V169" s="27">
        <v>1350.68</v>
      </c>
      <c r="W169" s="22">
        <f t="shared" si="13"/>
        <v>1.0080579654892732</v>
      </c>
      <c r="X169" s="13">
        <v>44707</v>
      </c>
      <c r="Y169" s="27">
        <v>1272.5899999999999</v>
      </c>
      <c r="Z169" s="22">
        <f t="shared" si="11"/>
        <v>1.0032742786098323</v>
      </c>
    </row>
    <row r="170" spans="1:26" x14ac:dyDescent="0.35">
      <c r="A170">
        <v>169</v>
      </c>
      <c r="B170" s="6">
        <v>1244653.0614373491</v>
      </c>
      <c r="C170" s="6">
        <v>1466689.9943681173</v>
      </c>
      <c r="D170" s="6">
        <v>1641849.3327906518</v>
      </c>
      <c r="E170" s="6">
        <v>1817368.1872141121</v>
      </c>
      <c r="F170" s="6">
        <v>2118568.1921489099</v>
      </c>
      <c r="X170" s="13"/>
      <c r="Y170" s="27"/>
      <c r="Z170" s="22"/>
    </row>
    <row r="171" spans="1:26" x14ac:dyDescent="0.35">
      <c r="A171">
        <v>170</v>
      </c>
      <c r="B171" s="6">
        <v>1244767.8983852691</v>
      </c>
      <c r="C171" s="6">
        <v>1467452.3467782296</v>
      </c>
      <c r="D171" s="6">
        <v>1642269.2813927045</v>
      </c>
      <c r="E171" s="6">
        <v>1817411.6605729752</v>
      </c>
      <c r="F171" s="6">
        <v>2130889.9355257158</v>
      </c>
    </row>
    <row r="172" spans="1:26" x14ac:dyDescent="0.35">
      <c r="A172">
        <v>171</v>
      </c>
      <c r="B172" s="6">
        <v>1246278.2579846624</v>
      </c>
      <c r="C172" s="6">
        <v>1468159.6736577631</v>
      </c>
      <c r="D172" s="6">
        <v>1642351.9209524146</v>
      </c>
      <c r="E172" s="6">
        <v>1819935.7671858501</v>
      </c>
      <c r="F172" s="6">
        <v>2133456.0462695784</v>
      </c>
    </row>
    <row r="173" spans="1:26" x14ac:dyDescent="0.35">
      <c r="A173">
        <v>172</v>
      </c>
      <c r="B173" s="6">
        <v>1246600.8615989657</v>
      </c>
      <c r="C173" s="6">
        <v>1468232.3937509926</v>
      </c>
      <c r="D173" s="6">
        <v>1644927.4787743641</v>
      </c>
      <c r="E173" s="6">
        <v>1820705.8679891056</v>
      </c>
      <c r="F173" s="6">
        <v>2136904.8348976593</v>
      </c>
    </row>
    <row r="174" spans="1:26" x14ac:dyDescent="0.35">
      <c r="A174">
        <v>173</v>
      </c>
      <c r="B174" s="6">
        <v>1248581.2070533491</v>
      </c>
      <c r="C174" s="6">
        <v>1469490.283831168</v>
      </c>
      <c r="D174" s="6">
        <v>1646112.5775055289</v>
      </c>
      <c r="E174" s="6">
        <v>1821299.2971924818</v>
      </c>
      <c r="F174" s="6">
        <v>2140593.7789531103</v>
      </c>
    </row>
    <row r="175" spans="1:26" x14ac:dyDescent="0.35">
      <c r="A175">
        <v>174</v>
      </c>
      <c r="B175" s="6">
        <v>1250140.6853031362</v>
      </c>
      <c r="C175" s="6">
        <v>1469675.573181693</v>
      </c>
      <c r="D175" s="6">
        <v>1646465.2683554967</v>
      </c>
      <c r="E175" s="6">
        <v>1821999.3653857724</v>
      </c>
      <c r="F175" s="6">
        <v>2146372.0271852687</v>
      </c>
    </row>
    <row r="176" spans="1:26" x14ac:dyDescent="0.35">
      <c r="A176">
        <v>175</v>
      </c>
      <c r="B176" s="6">
        <v>1250288.0939853429</v>
      </c>
      <c r="C176" s="6">
        <v>1470243.1178873884</v>
      </c>
      <c r="D176" s="6">
        <v>1648152.2601804482</v>
      </c>
      <c r="E176" s="6">
        <v>1823979.0962588999</v>
      </c>
      <c r="F176" s="6">
        <v>2148950.2808185485</v>
      </c>
    </row>
    <row r="177" spans="1:6" x14ac:dyDescent="0.35">
      <c r="A177">
        <v>176</v>
      </c>
      <c r="B177" s="6">
        <v>1251658.2791233696</v>
      </c>
      <c r="C177" s="6">
        <v>1470814.8778993017</v>
      </c>
      <c r="D177" s="6">
        <v>1649312.9488986693</v>
      </c>
      <c r="E177" s="6">
        <v>1824612.0747660254</v>
      </c>
      <c r="F177" s="6">
        <v>2152537.5107086506</v>
      </c>
    </row>
    <row r="178" spans="1:6" x14ac:dyDescent="0.35">
      <c r="A178">
        <v>177</v>
      </c>
      <c r="B178" s="6">
        <v>1253189.9980459516</v>
      </c>
      <c r="C178" s="6">
        <v>1472348.63476492</v>
      </c>
      <c r="D178" s="6">
        <v>1651747.6247303714</v>
      </c>
      <c r="E178" s="6">
        <v>1825153.2710059248</v>
      </c>
      <c r="F178" s="6">
        <v>2152726.6609821138</v>
      </c>
    </row>
    <row r="179" spans="1:6" x14ac:dyDescent="0.35">
      <c r="A179">
        <v>178</v>
      </c>
      <c r="B179" s="6">
        <v>1259469.3347949528</v>
      </c>
      <c r="C179" s="6">
        <v>1472721.0777078054</v>
      </c>
      <c r="D179" s="6">
        <v>1652458.9993033973</v>
      </c>
      <c r="E179" s="6">
        <v>1825386.7897791616</v>
      </c>
      <c r="F179" s="6">
        <v>2154092.0168618085</v>
      </c>
    </row>
    <row r="180" spans="1:6" x14ac:dyDescent="0.35">
      <c r="A180">
        <v>179</v>
      </c>
      <c r="B180" s="6">
        <v>1259693.3420650279</v>
      </c>
      <c r="C180" s="6">
        <v>1473104.933938456</v>
      </c>
      <c r="D180" s="6">
        <v>1652594.1344160843</v>
      </c>
      <c r="E180" s="6">
        <v>1826043.1507395189</v>
      </c>
      <c r="F180" s="6">
        <v>2154140.8839558023</v>
      </c>
    </row>
    <row r="181" spans="1:6" x14ac:dyDescent="0.35">
      <c r="A181">
        <v>180</v>
      </c>
      <c r="B181" s="6">
        <v>1260732.4795656458</v>
      </c>
      <c r="C181" s="6">
        <v>1475680.1074575325</v>
      </c>
      <c r="D181" s="6">
        <v>1652602.2003533372</v>
      </c>
      <c r="E181" s="6">
        <v>1826458.6392426537</v>
      </c>
      <c r="F181" s="6">
        <v>2159110.9775519525</v>
      </c>
    </row>
    <row r="182" spans="1:6" x14ac:dyDescent="0.35">
      <c r="A182">
        <v>181</v>
      </c>
      <c r="B182" s="6">
        <v>1266730.6268594002</v>
      </c>
      <c r="C182" s="6">
        <v>1477547.044805574</v>
      </c>
      <c r="D182" s="6">
        <v>1654093.2061853553</v>
      </c>
      <c r="E182" s="6">
        <v>1827101.6433215023</v>
      </c>
      <c r="F182" s="6">
        <v>2162801.9559168839</v>
      </c>
    </row>
    <row r="183" spans="1:6" x14ac:dyDescent="0.35">
      <c r="A183">
        <v>182</v>
      </c>
      <c r="B183" s="6">
        <v>1266761.1108759358</v>
      </c>
      <c r="C183" s="6">
        <v>1477580.2208747964</v>
      </c>
      <c r="D183" s="6">
        <v>1655784.2768166054</v>
      </c>
      <c r="E183" s="6">
        <v>1827164.6713244312</v>
      </c>
      <c r="F183" s="6">
        <v>2166224.3122793837</v>
      </c>
    </row>
    <row r="184" spans="1:6" x14ac:dyDescent="0.35">
      <c r="A184">
        <v>183</v>
      </c>
      <c r="B184" s="6">
        <v>1267309.194473363</v>
      </c>
      <c r="C184" s="6">
        <v>1478486.4381513984</v>
      </c>
      <c r="D184" s="6">
        <v>1656071.1870006099</v>
      </c>
      <c r="E184" s="6">
        <v>1828626.2263828176</v>
      </c>
      <c r="F184" s="6">
        <v>2166524.4669657075</v>
      </c>
    </row>
    <row r="185" spans="1:6" x14ac:dyDescent="0.35">
      <c r="A185">
        <v>184</v>
      </c>
      <c r="B185" s="6">
        <v>1270166.9556255122</v>
      </c>
      <c r="C185" s="6">
        <v>1479620.4202513709</v>
      </c>
      <c r="D185" s="6">
        <v>1656652.1669781827</v>
      </c>
      <c r="E185" s="6">
        <v>1828804.4042349875</v>
      </c>
      <c r="F185" s="6">
        <v>2170333.6846185382</v>
      </c>
    </row>
    <row r="186" spans="1:6" x14ac:dyDescent="0.35">
      <c r="A186">
        <v>185</v>
      </c>
      <c r="B186" s="6">
        <v>1272970.0212913039</v>
      </c>
      <c r="C186" s="6">
        <v>1481064.5932963965</v>
      </c>
      <c r="D186" s="6">
        <v>1657013.3101366167</v>
      </c>
      <c r="E186" s="6">
        <v>1829149.1886996999</v>
      </c>
      <c r="F186" s="6">
        <v>2183899.445513214</v>
      </c>
    </row>
    <row r="187" spans="1:6" x14ac:dyDescent="0.35">
      <c r="A187">
        <v>186</v>
      </c>
      <c r="B187" s="6">
        <v>1273493.5181316996</v>
      </c>
      <c r="C187" s="6">
        <v>1481493.4653841022</v>
      </c>
      <c r="D187" s="6">
        <v>1657882.5170834458</v>
      </c>
      <c r="E187" s="6">
        <v>1830871.0052064422</v>
      </c>
      <c r="F187" s="6">
        <v>2185465.9606317091</v>
      </c>
    </row>
    <row r="188" spans="1:6" x14ac:dyDescent="0.35">
      <c r="A188">
        <v>187</v>
      </c>
      <c r="B188" s="6">
        <v>1274999.3933594348</v>
      </c>
      <c r="C188" s="6">
        <v>1481656.8884862594</v>
      </c>
      <c r="D188" s="6">
        <v>1658325.638657731</v>
      </c>
      <c r="E188" s="6">
        <v>1831217.998010875</v>
      </c>
      <c r="F188" s="6">
        <v>2190586.8683526777</v>
      </c>
    </row>
    <row r="189" spans="1:6" x14ac:dyDescent="0.35">
      <c r="A189">
        <v>188</v>
      </c>
      <c r="B189" s="6">
        <v>1275711.915520519</v>
      </c>
      <c r="C189" s="6">
        <v>1483656.7312518677</v>
      </c>
      <c r="D189" s="6">
        <v>1658936.4582558717</v>
      </c>
      <c r="E189" s="6">
        <v>1832079.144455153</v>
      </c>
      <c r="F189" s="6">
        <v>2192178.8287444492</v>
      </c>
    </row>
    <row r="190" spans="1:6" x14ac:dyDescent="0.35">
      <c r="A190">
        <v>189</v>
      </c>
      <c r="B190" s="6">
        <v>1277011.34382847</v>
      </c>
      <c r="C190" s="6">
        <v>1483806.16866622</v>
      </c>
      <c r="D190" s="6">
        <v>1660943.4602392337</v>
      </c>
      <c r="E190" s="6">
        <v>1832550.1756962296</v>
      </c>
      <c r="F190" s="6">
        <v>2192956.3759418149</v>
      </c>
    </row>
    <row r="191" spans="1:6" x14ac:dyDescent="0.35">
      <c r="A191">
        <v>190</v>
      </c>
      <c r="B191" s="6">
        <v>1278134.5413466911</v>
      </c>
      <c r="C191" s="6">
        <v>1485208.7521842208</v>
      </c>
      <c r="D191" s="6">
        <v>1661120.8612609524</v>
      </c>
      <c r="E191" s="6">
        <v>1834690.7152244016</v>
      </c>
      <c r="F191" s="6">
        <v>2202853.3777937056</v>
      </c>
    </row>
    <row r="192" spans="1:6" x14ac:dyDescent="0.35">
      <c r="A192">
        <v>191</v>
      </c>
      <c r="B192" s="6">
        <v>1280318.3059545825</v>
      </c>
      <c r="C192" s="6">
        <v>1488340.5722250997</v>
      </c>
      <c r="D192" s="6">
        <v>1661550.2015799207</v>
      </c>
      <c r="E192" s="6">
        <v>1836875.5821323628</v>
      </c>
      <c r="F192" s="6">
        <v>2206343.3339427509</v>
      </c>
    </row>
    <row r="193" spans="1:6" x14ac:dyDescent="0.35">
      <c r="A193">
        <v>192</v>
      </c>
      <c r="B193" s="6">
        <v>1282450.0976250651</v>
      </c>
      <c r="C193" s="6">
        <v>1488485.8981081778</v>
      </c>
      <c r="D193" s="6">
        <v>1661794.0404576976</v>
      </c>
      <c r="E193" s="6">
        <v>1838565.6690185838</v>
      </c>
      <c r="F193" s="6">
        <v>2211608.0006864057</v>
      </c>
    </row>
    <row r="194" spans="1:6" x14ac:dyDescent="0.35">
      <c r="A194">
        <v>193</v>
      </c>
      <c r="B194" s="6">
        <v>1282527.7045287827</v>
      </c>
      <c r="C194" s="6">
        <v>1488673.4052960484</v>
      </c>
      <c r="D194" s="6">
        <v>1662013.181168847</v>
      </c>
      <c r="E194" s="6">
        <v>1839564.5034045395</v>
      </c>
      <c r="F194" s="6">
        <v>2214056.059011335</v>
      </c>
    </row>
    <row r="195" spans="1:6" x14ac:dyDescent="0.35">
      <c r="A195">
        <v>194</v>
      </c>
      <c r="B195" s="6">
        <v>1284728.5630762796</v>
      </c>
      <c r="C195" s="6">
        <v>1489885.7091513982</v>
      </c>
      <c r="D195" s="6">
        <v>1662505.2637558135</v>
      </c>
      <c r="E195" s="6">
        <v>1839725.3175729634</v>
      </c>
      <c r="F195" s="6">
        <v>2219736.7867346685</v>
      </c>
    </row>
    <row r="196" spans="1:6" x14ac:dyDescent="0.35">
      <c r="A196">
        <v>195</v>
      </c>
      <c r="B196" s="6">
        <v>1285721.4720061398</v>
      </c>
      <c r="C196" s="6">
        <v>1490409.463535584</v>
      </c>
      <c r="D196" s="6">
        <v>1663360.464485876</v>
      </c>
      <c r="E196" s="6">
        <v>1840002.8096218163</v>
      </c>
      <c r="F196" s="6">
        <v>2251697.046889253</v>
      </c>
    </row>
    <row r="197" spans="1:6" x14ac:dyDescent="0.35">
      <c r="A197">
        <v>196</v>
      </c>
      <c r="B197" s="6">
        <v>1286835.2597333202</v>
      </c>
      <c r="C197" s="6">
        <v>1490752.8793866569</v>
      </c>
      <c r="D197" s="6">
        <v>1664171.9378625152</v>
      </c>
      <c r="E197" s="6">
        <v>1840417.0357579209</v>
      </c>
      <c r="F197" s="6">
        <v>2278212.6292794337</v>
      </c>
    </row>
    <row r="198" spans="1:6" x14ac:dyDescent="0.35">
      <c r="A198">
        <v>197</v>
      </c>
      <c r="B198" s="6">
        <v>1290601.6362779909</v>
      </c>
      <c r="C198" s="6">
        <v>1491555.3067393233</v>
      </c>
      <c r="D198" s="6">
        <v>1664246.5515971519</v>
      </c>
      <c r="E198" s="6">
        <v>1843914.0578068241</v>
      </c>
      <c r="F198" s="6">
        <v>2288742.6029084348</v>
      </c>
    </row>
    <row r="199" spans="1:6" x14ac:dyDescent="0.35">
      <c r="A199">
        <v>198</v>
      </c>
      <c r="B199" s="6">
        <v>1291320.540457099</v>
      </c>
      <c r="C199" s="6">
        <v>1491848.8909616582</v>
      </c>
      <c r="D199" s="6">
        <v>1665309.2861221521</v>
      </c>
      <c r="E199" s="6">
        <v>1844877.506629637</v>
      </c>
      <c r="F199" s="6">
        <v>2342279.5463216589</v>
      </c>
    </row>
    <row r="200" spans="1:6" x14ac:dyDescent="0.35">
      <c r="A200">
        <v>199</v>
      </c>
      <c r="B200" s="6">
        <v>1292867.5296007991</v>
      </c>
      <c r="C200" s="6">
        <v>1491891.9247489609</v>
      </c>
      <c r="D200" s="6">
        <v>1665875.8783668415</v>
      </c>
      <c r="E200" s="6">
        <v>1847330.9203581135</v>
      </c>
      <c r="F200" s="6">
        <v>2376945.2826122348</v>
      </c>
    </row>
    <row r="201" spans="1:6" x14ac:dyDescent="0.35">
      <c r="A201">
        <v>200</v>
      </c>
      <c r="B201" s="6">
        <v>1294449.9963396667</v>
      </c>
      <c r="C201" s="6">
        <v>1492046.142669983</v>
      </c>
      <c r="D201" s="6">
        <v>1666275.564258846</v>
      </c>
      <c r="E201" s="6">
        <v>1848996.0754367223</v>
      </c>
      <c r="F201" s="6">
        <v>2415093.8535019732</v>
      </c>
    </row>
  </sheetData>
  <mergeCells count="3">
    <mergeCell ref="A1:F1"/>
    <mergeCell ref="H1:P1"/>
    <mergeCell ref="R1:Z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Command</vt:lpstr>
      <vt:lpstr>CSO-1980</vt:lpstr>
      <vt:lpstr>VNIndex</vt:lpstr>
      <vt:lpstr>Result</vt:lpstr>
      <vt:lpstr>Deterministic-VND</vt:lpstr>
      <vt:lpstr>Stochastic-NegativeF10</vt:lpstr>
      <vt:lpstr>Stochastic-Modified</vt:lpstr>
      <vt:lpstr>Stochastic-VND</vt:lpstr>
      <vt:lpstr>Appendices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mei</dc:creator>
  <cp:lastModifiedBy>mei</cp:lastModifiedBy>
  <dcterms:created xsi:type="dcterms:W3CDTF">2022-05-13T11:09:32Z</dcterms:created>
  <dcterms:modified xsi:type="dcterms:W3CDTF">2022-06-03T16:18:10Z</dcterms:modified>
</cp:coreProperties>
</file>